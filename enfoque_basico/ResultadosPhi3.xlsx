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\\wsl.localhost\Ubuntu\home\amgc\docs\urgencias\"/>
    </mc:Choice>
  </mc:AlternateContent>
  <xr:revisionPtr revIDLastSave="0" documentId="13_ncr:1_{63DC7CDF-0FB6-4C80-A4FA-E1D852D3EE6B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Pydantic" sheetId="1" r:id="rId1"/>
    <sheet name="SinPydanti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4" i="2" l="1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H19" i="1"/>
  <c r="G19" i="1"/>
  <c r="F19" i="1"/>
  <c r="L18" i="1"/>
  <c r="L20" i="1" s="1"/>
  <c r="I18" i="1"/>
  <c r="I20" i="1" s="1"/>
  <c r="H18" i="1"/>
  <c r="H20" i="1" s="1"/>
  <c r="V14" i="1"/>
  <c r="U14" i="1"/>
  <c r="T14" i="1"/>
  <c r="S14" i="1"/>
  <c r="R14" i="1"/>
  <c r="Q14" i="1"/>
  <c r="P14" i="1"/>
  <c r="O14" i="1"/>
  <c r="N14" i="1"/>
  <c r="M14" i="1"/>
  <c r="M19" i="1" s="1"/>
  <c r="L14" i="1"/>
  <c r="L19" i="1" s="1"/>
  <c r="K14" i="1"/>
  <c r="K19" i="1" s="1"/>
  <c r="J14" i="1"/>
  <c r="I14" i="1"/>
  <c r="I19" i="1" s="1"/>
  <c r="H14" i="1"/>
  <c r="G14" i="1"/>
  <c r="F14" i="1"/>
  <c r="E14" i="1"/>
  <c r="D14" i="1"/>
  <c r="C14" i="1"/>
  <c r="B14" i="1"/>
  <c r="V13" i="1"/>
  <c r="U13" i="1"/>
  <c r="T13" i="1"/>
  <c r="S13" i="1"/>
  <c r="R13" i="1"/>
  <c r="Q13" i="1"/>
  <c r="P13" i="1"/>
  <c r="O13" i="1"/>
  <c r="N13" i="1"/>
  <c r="M13" i="1"/>
  <c r="M17" i="1" s="1"/>
  <c r="L13" i="1"/>
  <c r="L17" i="1" s="1"/>
  <c r="K13" i="1"/>
  <c r="J13" i="1"/>
  <c r="I13" i="1"/>
  <c r="H13" i="1"/>
  <c r="G13" i="1"/>
  <c r="F13" i="1"/>
  <c r="E13" i="1"/>
  <c r="D13" i="1"/>
  <c r="C13" i="1"/>
  <c r="B13" i="1"/>
  <c r="V12" i="1"/>
  <c r="U12" i="1"/>
  <c r="T12" i="1"/>
  <c r="S12" i="1"/>
  <c r="R12" i="1"/>
  <c r="Q12" i="1"/>
  <c r="P12" i="1"/>
  <c r="O12" i="1"/>
  <c r="N12" i="1"/>
  <c r="M12" i="1"/>
  <c r="M18" i="1" s="1"/>
  <c r="L12" i="1"/>
  <c r="K12" i="1"/>
  <c r="K18" i="1" s="1"/>
  <c r="K20" i="1" s="1"/>
  <c r="J12" i="1"/>
  <c r="I12" i="1"/>
  <c r="H12" i="1"/>
  <c r="G12" i="1"/>
  <c r="F12" i="1"/>
  <c r="E12" i="1"/>
  <c r="D12" i="1"/>
  <c r="C12" i="1"/>
  <c r="B12" i="1"/>
  <c r="V11" i="1"/>
  <c r="V19" i="1" s="1"/>
  <c r="U11" i="1"/>
  <c r="U19" i="1" s="1"/>
  <c r="T11" i="1"/>
  <c r="S11" i="1"/>
  <c r="S19" i="1" s="1"/>
  <c r="R11" i="1"/>
  <c r="R19" i="1" s="1"/>
  <c r="Q11" i="1"/>
  <c r="Q19" i="1" s="1"/>
  <c r="P11" i="1"/>
  <c r="P19" i="1" s="1"/>
  <c r="O11" i="1"/>
  <c r="O19" i="1" s="1"/>
  <c r="N11" i="1"/>
  <c r="N19" i="1" s="1"/>
  <c r="M11" i="1"/>
  <c r="L11" i="1"/>
  <c r="K11" i="1"/>
  <c r="J11" i="1"/>
  <c r="I11" i="1"/>
  <c r="I17" i="1" s="1"/>
  <c r="H11" i="1"/>
  <c r="H17" i="1" s="1"/>
  <c r="G11" i="1"/>
  <c r="G18" i="1" s="1"/>
  <c r="G20" i="1" s="1"/>
  <c r="F11" i="1"/>
  <c r="F17" i="1" s="1"/>
  <c r="E11" i="1"/>
  <c r="E19" i="1" s="1"/>
  <c r="D11" i="1"/>
  <c r="D18" i="1" s="1"/>
  <c r="C11" i="1"/>
  <c r="C18" i="1" s="1"/>
  <c r="B11" i="1"/>
  <c r="B19" i="1" s="1"/>
  <c r="V18" i="2" l="1"/>
  <c r="U19" i="2"/>
  <c r="T18" i="1"/>
  <c r="Q18" i="2"/>
  <c r="O19" i="2"/>
  <c r="P19" i="2"/>
  <c r="R18" i="2"/>
  <c r="N19" i="2"/>
  <c r="T18" i="2"/>
  <c r="L18" i="2"/>
  <c r="S17" i="2"/>
  <c r="T17" i="2"/>
  <c r="S18" i="2"/>
  <c r="U18" i="2"/>
  <c r="K18" i="2"/>
  <c r="J19" i="1"/>
  <c r="J17" i="1"/>
  <c r="J18" i="1"/>
  <c r="J20" i="1" s="1"/>
  <c r="J17" i="2"/>
  <c r="I17" i="2"/>
  <c r="H17" i="2"/>
  <c r="G19" i="2"/>
  <c r="F18" i="2"/>
  <c r="F19" i="2"/>
  <c r="D19" i="2"/>
  <c r="C19" i="2"/>
  <c r="C18" i="2"/>
  <c r="C20" i="2" s="1"/>
  <c r="B19" i="2"/>
  <c r="B18" i="2"/>
  <c r="H18" i="2"/>
  <c r="I18" i="2"/>
  <c r="J18" i="2"/>
  <c r="M18" i="2"/>
  <c r="L17" i="2"/>
  <c r="K19" i="2"/>
  <c r="M17" i="2"/>
  <c r="L19" i="2"/>
  <c r="M19" i="2"/>
  <c r="H19" i="2"/>
  <c r="I19" i="2"/>
  <c r="J19" i="2"/>
  <c r="Q19" i="2"/>
  <c r="E19" i="2"/>
  <c r="D18" i="2"/>
  <c r="C17" i="2"/>
  <c r="B17" i="2"/>
  <c r="V19" i="2"/>
  <c r="V20" i="2" s="1"/>
  <c r="R19" i="2"/>
  <c r="D17" i="2"/>
  <c r="S19" i="2"/>
  <c r="G18" i="2"/>
  <c r="U17" i="2"/>
  <c r="T19" i="2"/>
  <c r="K17" i="2"/>
  <c r="N17" i="2"/>
  <c r="O17" i="2"/>
  <c r="P17" i="2"/>
  <c r="N18" i="2"/>
  <c r="Q17" i="2"/>
  <c r="O18" i="2"/>
  <c r="R17" i="2"/>
  <c r="P18" i="2"/>
  <c r="V17" i="2"/>
  <c r="E17" i="2"/>
  <c r="F17" i="2"/>
  <c r="G17" i="2"/>
  <c r="E18" i="2"/>
  <c r="C20" i="1"/>
  <c r="D20" i="1"/>
  <c r="M20" i="1"/>
  <c r="K17" i="1"/>
  <c r="N17" i="1"/>
  <c r="O17" i="1"/>
  <c r="P17" i="1"/>
  <c r="Q17" i="1"/>
  <c r="R17" i="1"/>
  <c r="P18" i="1"/>
  <c r="P20" i="1" s="1"/>
  <c r="S17" i="1"/>
  <c r="Q18" i="1"/>
  <c r="Q20" i="1" s="1"/>
  <c r="D17" i="1"/>
  <c r="B18" i="1"/>
  <c r="V18" i="1"/>
  <c r="V20" i="1" s="1"/>
  <c r="T19" i="1"/>
  <c r="T20" i="1" s="1"/>
  <c r="G17" i="1"/>
  <c r="E18" i="1"/>
  <c r="E20" i="1" s="1"/>
  <c r="C19" i="1"/>
  <c r="F18" i="1"/>
  <c r="F20" i="1" s="1"/>
  <c r="D19" i="1"/>
  <c r="N18" i="1"/>
  <c r="N20" i="1" s="1"/>
  <c r="O18" i="1"/>
  <c r="O20" i="1" s="1"/>
  <c r="T17" i="1"/>
  <c r="R18" i="1"/>
  <c r="R20" i="1" s="1"/>
  <c r="U17" i="1"/>
  <c r="S18" i="1"/>
  <c r="S20" i="1" s="1"/>
  <c r="B17" i="1"/>
  <c r="V17" i="1"/>
  <c r="C17" i="1"/>
  <c r="U18" i="1"/>
  <c r="U20" i="1" s="1"/>
  <c r="E17" i="1"/>
  <c r="U20" i="2" l="1"/>
  <c r="T20" i="2"/>
  <c r="S20" i="2"/>
  <c r="R20" i="2"/>
  <c r="Q20" i="2"/>
  <c r="P20" i="2"/>
  <c r="O20" i="2"/>
  <c r="N20" i="2"/>
  <c r="L20" i="2"/>
  <c r="K20" i="2"/>
  <c r="W19" i="1"/>
  <c r="G20" i="2"/>
  <c r="F20" i="2"/>
  <c r="D20" i="2"/>
  <c r="B20" i="2"/>
  <c r="W19" i="2"/>
  <c r="E20" i="2"/>
  <c r="W18" i="2"/>
  <c r="W17" i="2"/>
  <c r="M20" i="2"/>
  <c r="J20" i="2"/>
  <c r="I20" i="2"/>
  <c r="H20" i="2"/>
  <c r="W18" i="1"/>
  <c r="B20" i="1"/>
  <c r="W20" i="1" s="1"/>
  <c r="W17" i="1"/>
  <c r="W20" i="2" l="1"/>
</calcChain>
</file>

<file path=xl/sharedStrings.xml><?xml version="1.0" encoding="utf-8"?>
<sst xmlns="http://schemas.openxmlformats.org/spreadsheetml/2006/main" count="327" uniqueCount="47">
  <si>
    <t>id</t>
  </si>
  <si>
    <t>id_episodio</t>
  </si>
  <si>
    <t>fecha_nacimiento</t>
  </si>
  <si>
    <t>edad</t>
  </si>
  <si>
    <t>sexo</t>
  </si>
  <si>
    <t>fecha_ingreso_hospital</t>
  </si>
  <si>
    <t>fecha_ingreso_uci</t>
  </si>
  <si>
    <t>hora_ingreso_uci</t>
  </si>
  <si>
    <t>estancia_preuci</t>
  </si>
  <si>
    <t>reingreso</t>
  </si>
  <si>
    <t>numero_ingresos_previos</t>
  </si>
  <si>
    <t>tipo_ingreso_uci</t>
  </si>
  <si>
    <t>tipo_paciente</t>
  </si>
  <si>
    <t>procedencia</t>
  </si>
  <si>
    <t>fecha_alta_uci</t>
  </si>
  <si>
    <t>hora_alta_uci</t>
  </si>
  <si>
    <t>estancia_uci</t>
  </si>
  <si>
    <t>estancia_postuci</t>
  </si>
  <si>
    <t>destino_alta_uci</t>
  </si>
  <si>
    <t>estado_paciente</t>
  </si>
  <si>
    <t>motivo_ingreso</t>
  </si>
  <si>
    <t>diagnostico</t>
  </si>
  <si>
    <t>B</t>
  </si>
  <si>
    <t>C</t>
  </si>
  <si>
    <t>A</t>
  </si>
  <si>
    <t>D</t>
  </si>
  <si>
    <t>A - VP</t>
  </si>
  <si>
    <t>B - FP</t>
  </si>
  <si>
    <t>C - VN</t>
  </si>
  <si>
    <t>D - FN</t>
  </si>
  <si>
    <t>Accuracy</t>
  </si>
  <si>
    <t>Precision</t>
  </si>
  <si>
    <t>Recall</t>
  </si>
  <si>
    <t>F1</t>
  </si>
  <si>
    <t>Saca fechas estimadas a veces</t>
  </si>
  <si>
    <t>Respuestas demasiado extensas o cálculos innecesarios para sacar la fecha (calcula primero el año y pone una resta)</t>
  </si>
  <si>
    <t>Respuestas extensas que no acotan</t>
  </si>
  <si>
    <t>Respuestas extensas al margen de que aparezca o no la información solicitada y bien identificada</t>
  </si>
  <si>
    <t>Nula acotación con demasiado texto (salvo que alguna vez se de algo falso e inventado) sin encontrarse nada que dé respuesta a la pregunta en un sentido u otro</t>
  </si>
  <si>
    <t>Respuestas que no se ajustan nada</t>
  </si>
  <si>
    <t>Incapacidad para dar una cifra</t>
  </si>
  <si>
    <t>Puede haber respuestas que requieran lectura detenida</t>
  </si>
  <si>
    <t>Se consideran como alucinaciones las que no dan respuesta al margen de la longitud</t>
  </si>
  <si>
    <t>No calcula diferencia de días en algunos casos</t>
  </si>
  <si>
    <t>Respuestas muy largas sin acotar</t>
  </si>
  <si>
    <t>Hay casos en los que no se da respuesta clara</t>
  </si>
  <si>
    <t>Mucho texto sin capacidad de determinar el estado (vivo/muerto). Alucinación dada esa incapacidad de dar la respuesta.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</si>
</sst>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"/>
  <sheetViews>
    <sheetView tabSelected="1" topLeftCell="J1" workbookViewId="0">
      <selection activeCell="S9" sqref="S9"/>
    </sheetView>
  </sheetViews>
  <sheetFormatPr baseColWidth="10" defaultColWidth="8.88671875" defaultRowHeight="14.4" x14ac:dyDescent="0.3"/>
  <cols>
    <col min="1" max="1" width="14.77734375" customWidth="1"/>
    <col min="2" max="2" width="13.88671875" customWidth="1"/>
    <col min="23" max="23" width="11.332031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s="2" customFormat="1" x14ac:dyDescent="0.3">
      <c r="A2" s="2">
        <v>1</v>
      </c>
      <c r="B2" s="2" t="s">
        <v>22</v>
      </c>
      <c r="C2" s="2" t="s">
        <v>23</v>
      </c>
      <c r="D2" s="2" t="s">
        <v>24</v>
      </c>
      <c r="E2" s="2" t="s">
        <v>23</v>
      </c>
      <c r="F2" s="2" t="s">
        <v>22</v>
      </c>
      <c r="G2" s="2" t="s">
        <v>24</v>
      </c>
      <c r="H2" s="2" t="s">
        <v>23</v>
      </c>
      <c r="I2" s="2" t="s">
        <v>23</v>
      </c>
      <c r="J2" s="2" t="s">
        <v>24</v>
      </c>
      <c r="K2" s="2" t="s">
        <v>23</v>
      </c>
      <c r="L2" s="2" t="s">
        <v>24</v>
      </c>
      <c r="M2" s="2" t="s">
        <v>22</v>
      </c>
      <c r="N2" s="2" t="s">
        <v>22</v>
      </c>
      <c r="O2" s="2" t="s">
        <v>25</v>
      </c>
      <c r="P2" s="2" t="s">
        <v>23</v>
      </c>
      <c r="Q2" s="2" t="s">
        <v>22</v>
      </c>
      <c r="R2" s="2" t="s">
        <v>22</v>
      </c>
      <c r="S2" s="2" t="s">
        <v>25</v>
      </c>
      <c r="T2" s="2" t="s">
        <v>22</v>
      </c>
      <c r="U2" s="2" t="s">
        <v>25</v>
      </c>
      <c r="V2" s="2" t="s">
        <v>24</v>
      </c>
    </row>
    <row r="3" spans="1:22" s="2" customFormat="1" x14ac:dyDescent="0.3">
      <c r="A3" s="2">
        <v>2</v>
      </c>
      <c r="B3" s="2" t="s">
        <v>24</v>
      </c>
      <c r="C3" s="2" t="s">
        <v>23</v>
      </c>
      <c r="D3" s="2" t="s">
        <v>24</v>
      </c>
      <c r="E3" s="2" t="s">
        <v>24</v>
      </c>
      <c r="F3" s="2" t="s">
        <v>22</v>
      </c>
      <c r="G3" s="2" t="s">
        <v>24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24</v>
      </c>
      <c r="M3" s="2" t="s">
        <v>22</v>
      </c>
      <c r="N3" s="2" t="s">
        <v>22</v>
      </c>
      <c r="O3" s="2" t="s">
        <v>24</v>
      </c>
      <c r="P3" s="2" t="s">
        <v>23</v>
      </c>
      <c r="Q3" s="2" t="s">
        <v>24</v>
      </c>
      <c r="R3" s="2" t="s">
        <v>23</v>
      </c>
      <c r="S3" s="2" t="s">
        <v>22</v>
      </c>
      <c r="T3" s="2" t="s">
        <v>22</v>
      </c>
      <c r="U3" s="2" t="s">
        <v>24</v>
      </c>
      <c r="V3" s="2" t="s">
        <v>24</v>
      </c>
    </row>
    <row r="4" spans="1:22" s="2" customFormat="1" x14ac:dyDescent="0.3">
      <c r="A4" s="2">
        <v>3</v>
      </c>
      <c r="B4" s="2" t="s">
        <v>22</v>
      </c>
      <c r="C4" s="2" t="s">
        <v>23</v>
      </c>
      <c r="D4" s="2" t="s">
        <v>24</v>
      </c>
      <c r="E4" s="2" t="s">
        <v>24</v>
      </c>
      <c r="F4" s="2" t="s">
        <v>22</v>
      </c>
      <c r="G4" s="2" t="s">
        <v>24</v>
      </c>
      <c r="H4" s="2" t="s">
        <v>23</v>
      </c>
      <c r="I4" s="2" t="s">
        <v>23</v>
      </c>
      <c r="J4" s="2" t="s">
        <v>23</v>
      </c>
      <c r="K4" s="2" t="s">
        <v>22</v>
      </c>
      <c r="L4" s="2" t="s">
        <v>22</v>
      </c>
      <c r="M4" s="2" t="s">
        <v>22</v>
      </c>
      <c r="N4" s="2" t="s">
        <v>24</v>
      </c>
      <c r="O4" s="2" t="s">
        <v>24</v>
      </c>
      <c r="P4" s="2" t="s">
        <v>23</v>
      </c>
      <c r="Q4" s="2" t="s">
        <v>24</v>
      </c>
      <c r="R4" s="2" t="s">
        <v>23</v>
      </c>
      <c r="S4" s="2" t="s">
        <v>22</v>
      </c>
      <c r="T4" s="2" t="s">
        <v>22</v>
      </c>
      <c r="U4" s="2" t="s">
        <v>22</v>
      </c>
      <c r="V4" s="2" t="s">
        <v>22</v>
      </c>
    </row>
    <row r="5" spans="1:22" s="2" customFormat="1" x14ac:dyDescent="0.3">
      <c r="A5" s="2">
        <v>4</v>
      </c>
      <c r="B5" s="2" t="s">
        <v>22</v>
      </c>
      <c r="C5" s="2" t="s">
        <v>22</v>
      </c>
      <c r="D5" s="2" t="s">
        <v>24</v>
      </c>
      <c r="E5" s="2" t="s">
        <v>24</v>
      </c>
      <c r="F5" s="2" t="s">
        <v>24</v>
      </c>
      <c r="G5" s="2" t="s">
        <v>22</v>
      </c>
      <c r="H5" s="2" t="s">
        <v>23</v>
      </c>
      <c r="I5" s="2" t="s">
        <v>24</v>
      </c>
      <c r="J5" s="2" t="s">
        <v>23</v>
      </c>
      <c r="K5" s="2" t="s">
        <v>24</v>
      </c>
      <c r="L5" s="2" t="s">
        <v>24</v>
      </c>
      <c r="M5" s="2" t="s">
        <v>25</v>
      </c>
      <c r="N5" s="2" t="s">
        <v>24</v>
      </c>
      <c r="O5" s="2" t="s">
        <v>22</v>
      </c>
      <c r="P5" s="2" t="s">
        <v>23</v>
      </c>
      <c r="Q5" s="2" t="s">
        <v>22</v>
      </c>
      <c r="R5" s="2" t="s">
        <v>22</v>
      </c>
      <c r="S5" s="2" t="s">
        <v>23</v>
      </c>
      <c r="T5" s="2" t="s">
        <v>22</v>
      </c>
      <c r="U5" s="2" t="s">
        <v>24</v>
      </c>
      <c r="V5" s="2" t="s">
        <v>24</v>
      </c>
    </row>
    <row r="6" spans="1:22" s="2" customFormat="1" x14ac:dyDescent="0.3">
      <c r="A6" s="2">
        <v>5</v>
      </c>
      <c r="B6" s="2" t="s">
        <v>24</v>
      </c>
      <c r="C6" s="2" t="s">
        <v>23</v>
      </c>
      <c r="D6" s="2" t="s">
        <v>24</v>
      </c>
      <c r="E6" s="2" t="s">
        <v>24</v>
      </c>
      <c r="F6" s="2" t="s">
        <v>24</v>
      </c>
      <c r="G6" s="2" t="s">
        <v>22</v>
      </c>
      <c r="H6" s="2" t="s">
        <v>23</v>
      </c>
      <c r="I6" s="2" t="s">
        <v>22</v>
      </c>
      <c r="J6" s="2" t="s">
        <v>22</v>
      </c>
      <c r="K6" s="2" t="s">
        <v>22</v>
      </c>
      <c r="L6" s="2" t="s">
        <v>24</v>
      </c>
      <c r="M6" s="2" t="s">
        <v>22</v>
      </c>
      <c r="N6" s="2" t="s">
        <v>25</v>
      </c>
      <c r="O6" s="2" t="s">
        <v>25</v>
      </c>
      <c r="P6" s="2" t="s">
        <v>23</v>
      </c>
      <c r="Q6" s="2" t="s">
        <v>22</v>
      </c>
      <c r="R6" s="2" t="s">
        <v>23</v>
      </c>
      <c r="S6" s="2" t="s">
        <v>25</v>
      </c>
      <c r="T6" s="2" t="s">
        <v>22</v>
      </c>
      <c r="U6" s="2" t="s">
        <v>25</v>
      </c>
      <c r="V6" s="2" t="s">
        <v>25</v>
      </c>
    </row>
    <row r="7" spans="1:22" s="2" customFormat="1" x14ac:dyDescent="0.3">
      <c r="A7" s="2">
        <v>6</v>
      </c>
      <c r="B7" s="2" t="s">
        <v>22</v>
      </c>
      <c r="C7" s="2" t="s">
        <v>23</v>
      </c>
      <c r="D7" s="2" t="s">
        <v>22</v>
      </c>
      <c r="E7" s="2" t="s">
        <v>25</v>
      </c>
      <c r="F7" s="2" t="s">
        <v>22</v>
      </c>
      <c r="G7" s="2" t="s">
        <v>22</v>
      </c>
      <c r="H7" s="2" t="s">
        <v>23</v>
      </c>
      <c r="I7" s="2" t="s">
        <v>23</v>
      </c>
      <c r="J7" s="2" t="s">
        <v>23</v>
      </c>
      <c r="K7" s="2" t="s">
        <v>23</v>
      </c>
      <c r="L7" s="2" t="s">
        <v>24</v>
      </c>
      <c r="M7" s="2" t="s">
        <v>22</v>
      </c>
      <c r="N7" s="2" t="s">
        <v>24</v>
      </c>
      <c r="O7" s="2" t="s">
        <v>24</v>
      </c>
      <c r="P7" s="2" t="s">
        <v>23</v>
      </c>
      <c r="Q7" s="2" t="s">
        <v>22</v>
      </c>
      <c r="R7" s="2" t="s">
        <v>22</v>
      </c>
      <c r="S7" s="2" t="s">
        <v>24</v>
      </c>
      <c r="T7" s="2" t="s">
        <v>24</v>
      </c>
      <c r="U7" s="2" t="s">
        <v>24</v>
      </c>
      <c r="V7" s="2" t="s">
        <v>24</v>
      </c>
    </row>
    <row r="11" spans="1:22" x14ac:dyDescent="0.3">
      <c r="A11" s="2" t="s">
        <v>26</v>
      </c>
      <c r="B11">
        <f t="shared" ref="B11:V11" si="0">COUNTIF(B2:B7, "A")</f>
        <v>2</v>
      </c>
      <c r="C11">
        <f t="shared" si="0"/>
        <v>0</v>
      </c>
      <c r="D11">
        <f t="shared" si="0"/>
        <v>5</v>
      </c>
      <c r="E11">
        <f t="shared" si="0"/>
        <v>4</v>
      </c>
      <c r="F11">
        <f t="shared" si="0"/>
        <v>2</v>
      </c>
      <c r="G11">
        <f t="shared" si="0"/>
        <v>3</v>
      </c>
      <c r="H11">
        <f t="shared" si="0"/>
        <v>0</v>
      </c>
      <c r="I11">
        <f t="shared" si="0"/>
        <v>1</v>
      </c>
      <c r="J11">
        <f t="shared" si="0"/>
        <v>1</v>
      </c>
      <c r="K11">
        <f t="shared" si="0"/>
        <v>1</v>
      </c>
      <c r="L11">
        <f t="shared" si="0"/>
        <v>5</v>
      </c>
      <c r="M11">
        <f t="shared" si="0"/>
        <v>0</v>
      </c>
      <c r="N11">
        <f t="shared" si="0"/>
        <v>3</v>
      </c>
      <c r="O11">
        <f t="shared" si="0"/>
        <v>3</v>
      </c>
      <c r="P11">
        <f t="shared" si="0"/>
        <v>0</v>
      </c>
      <c r="Q11">
        <f t="shared" si="0"/>
        <v>2</v>
      </c>
      <c r="R11">
        <f t="shared" si="0"/>
        <v>0</v>
      </c>
      <c r="S11">
        <f t="shared" si="0"/>
        <v>1</v>
      </c>
      <c r="T11">
        <f t="shared" si="0"/>
        <v>1</v>
      </c>
      <c r="U11">
        <f t="shared" si="0"/>
        <v>3</v>
      </c>
      <c r="V11">
        <f t="shared" si="0"/>
        <v>4</v>
      </c>
    </row>
    <row r="12" spans="1:22" x14ac:dyDescent="0.3">
      <c r="A12" s="2" t="s">
        <v>27</v>
      </c>
      <c r="B12">
        <f t="shared" ref="B12:V12" si="1">COUNTIF(B2:B7, "B")</f>
        <v>4</v>
      </c>
      <c r="C12">
        <f t="shared" si="1"/>
        <v>1</v>
      </c>
      <c r="D12">
        <f t="shared" si="1"/>
        <v>1</v>
      </c>
      <c r="E12">
        <f t="shared" si="1"/>
        <v>0</v>
      </c>
      <c r="F12">
        <f t="shared" si="1"/>
        <v>4</v>
      </c>
      <c r="G12">
        <f t="shared" si="1"/>
        <v>3</v>
      </c>
      <c r="H12">
        <f t="shared" si="1"/>
        <v>0</v>
      </c>
      <c r="I12">
        <f t="shared" si="1"/>
        <v>2</v>
      </c>
      <c r="J12">
        <f t="shared" si="1"/>
        <v>1</v>
      </c>
      <c r="K12">
        <f t="shared" si="1"/>
        <v>3</v>
      </c>
      <c r="L12">
        <f t="shared" si="1"/>
        <v>1</v>
      </c>
      <c r="M12">
        <f t="shared" si="1"/>
        <v>5</v>
      </c>
      <c r="N12">
        <f t="shared" si="1"/>
        <v>2</v>
      </c>
      <c r="O12">
        <f t="shared" si="1"/>
        <v>1</v>
      </c>
      <c r="P12">
        <f t="shared" si="1"/>
        <v>0</v>
      </c>
      <c r="Q12">
        <f t="shared" si="1"/>
        <v>4</v>
      </c>
      <c r="R12">
        <f t="shared" si="1"/>
        <v>3</v>
      </c>
      <c r="S12">
        <f t="shared" si="1"/>
        <v>2</v>
      </c>
      <c r="T12">
        <f t="shared" si="1"/>
        <v>5</v>
      </c>
      <c r="U12">
        <f t="shared" si="1"/>
        <v>1</v>
      </c>
      <c r="V12">
        <f t="shared" si="1"/>
        <v>1</v>
      </c>
    </row>
    <row r="13" spans="1:22" x14ac:dyDescent="0.3">
      <c r="A13" s="2" t="s">
        <v>28</v>
      </c>
      <c r="B13">
        <f t="shared" ref="B13:V13" si="2">COUNTIF(B2:B7, "C")</f>
        <v>0</v>
      </c>
      <c r="C13">
        <f t="shared" si="2"/>
        <v>5</v>
      </c>
      <c r="D13">
        <f t="shared" si="2"/>
        <v>0</v>
      </c>
      <c r="E13">
        <f t="shared" si="2"/>
        <v>1</v>
      </c>
      <c r="F13">
        <f t="shared" si="2"/>
        <v>0</v>
      </c>
      <c r="G13">
        <f t="shared" si="2"/>
        <v>0</v>
      </c>
      <c r="H13">
        <f t="shared" si="2"/>
        <v>6</v>
      </c>
      <c r="I13">
        <f t="shared" si="2"/>
        <v>3</v>
      </c>
      <c r="J13">
        <f t="shared" si="2"/>
        <v>4</v>
      </c>
      <c r="K13">
        <f t="shared" si="2"/>
        <v>2</v>
      </c>
      <c r="L13">
        <f t="shared" si="2"/>
        <v>0</v>
      </c>
      <c r="M13">
        <f t="shared" si="2"/>
        <v>0</v>
      </c>
      <c r="N13">
        <f t="shared" si="2"/>
        <v>0</v>
      </c>
      <c r="O13">
        <f t="shared" si="2"/>
        <v>0</v>
      </c>
      <c r="P13">
        <f t="shared" si="2"/>
        <v>6</v>
      </c>
      <c r="Q13">
        <f t="shared" si="2"/>
        <v>0</v>
      </c>
      <c r="R13">
        <f t="shared" si="2"/>
        <v>3</v>
      </c>
      <c r="S13">
        <f t="shared" si="2"/>
        <v>1</v>
      </c>
      <c r="T13">
        <f t="shared" si="2"/>
        <v>0</v>
      </c>
      <c r="U13">
        <f t="shared" si="2"/>
        <v>0</v>
      </c>
      <c r="V13">
        <f t="shared" si="2"/>
        <v>0</v>
      </c>
    </row>
    <row r="14" spans="1:22" x14ac:dyDescent="0.3">
      <c r="A14" s="2" t="s">
        <v>29</v>
      </c>
      <c r="B14">
        <f t="shared" ref="B14:V14" si="3">COUNTIF(B2:B7, "D")</f>
        <v>0</v>
      </c>
      <c r="C14">
        <f t="shared" si="3"/>
        <v>0</v>
      </c>
      <c r="D14">
        <f t="shared" si="3"/>
        <v>0</v>
      </c>
      <c r="E14">
        <f t="shared" si="3"/>
        <v>1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1</v>
      </c>
      <c r="N14">
        <f t="shared" si="3"/>
        <v>1</v>
      </c>
      <c r="O14">
        <f t="shared" si="3"/>
        <v>2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2</v>
      </c>
      <c r="T14">
        <f t="shared" si="3"/>
        <v>0</v>
      </c>
      <c r="U14">
        <f t="shared" si="3"/>
        <v>2</v>
      </c>
      <c r="V14">
        <f t="shared" si="3"/>
        <v>1</v>
      </c>
    </row>
    <row r="17" spans="1:23" x14ac:dyDescent="0.3">
      <c r="A17" s="2" t="s">
        <v>30</v>
      </c>
      <c r="B17" s="3">
        <f t="shared" ref="B17:V17" si="4">IFERROR((B11 + B13) / (B11 + B12 + B13 + B14), 0)</f>
        <v>0.33333333333333331</v>
      </c>
      <c r="C17" s="3">
        <f t="shared" si="4"/>
        <v>0.83333333333333337</v>
      </c>
      <c r="D17" s="3">
        <f t="shared" si="4"/>
        <v>0.83333333333333337</v>
      </c>
      <c r="E17" s="3">
        <f t="shared" si="4"/>
        <v>0.83333333333333337</v>
      </c>
      <c r="F17" s="3">
        <f t="shared" si="4"/>
        <v>0.33333333333333331</v>
      </c>
      <c r="G17" s="3">
        <f t="shared" si="4"/>
        <v>0.5</v>
      </c>
      <c r="H17" s="3">
        <f t="shared" si="4"/>
        <v>1</v>
      </c>
      <c r="I17" s="3">
        <f t="shared" si="4"/>
        <v>0.66666666666666663</v>
      </c>
      <c r="J17" s="3">
        <f t="shared" si="4"/>
        <v>0.83333333333333337</v>
      </c>
      <c r="K17" s="3">
        <f t="shared" si="4"/>
        <v>0.5</v>
      </c>
      <c r="L17" s="3">
        <f t="shared" si="4"/>
        <v>0.83333333333333337</v>
      </c>
      <c r="M17" s="3">
        <f t="shared" si="4"/>
        <v>0</v>
      </c>
      <c r="N17" s="3">
        <f t="shared" si="4"/>
        <v>0.5</v>
      </c>
      <c r="O17" s="3">
        <f t="shared" si="4"/>
        <v>0.5</v>
      </c>
      <c r="P17" s="3">
        <f t="shared" si="4"/>
        <v>1</v>
      </c>
      <c r="Q17" s="3">
        <f t="shared" si="4"/>
        <v>0.33333333333333331</v>
      </c>
      <c r="R17" s="3">
        <f t="shared" si="4"/>
        <v>0.5</v>
      </c>
      <c r="S17" s="3">
        <f t="shared" si="4"/>
        <v>0.33333333333333331</v>
      </c>
      <c r="T17" s="3">
        <f t="shared" si="4"/>
        <v>0.16666666666666666</v>
      </c>
      <c r="U17" s="3">
        <f t="shared" si="4"/>
        <v>0.5</v>
      </c>
      <c r="V17" s="3">
        <f t="shared" si="4"/>
        <v>0.66666666666666663</v>
      </c>
      <c r="W17" s="3">
        <f>AVERAGE(B17:V17)</f>
        <v>0.5714285714285714</v>
      </c>
    </row>
    <row r="18" spans="1:23" x14ac:dyDescent="0.3">
      <c r="A18" s="2" t="s">
        <v>31</v>
      </c>
      <c r="B18" s="3">
        <f t="shared" ref="B18:V18" si="5">IFERROR((B11) / (B11 + B12), 0)</f>
        <v>0.33333333333333331</v>
      </c>
      <c r="C18" s="3">
        <f t="shared" si="5"/>
        <v>0</v>
      </c>
      <c r="D18" s="3">
        <f t="shared" si="5"/>
        <v>0.83333333333333337</v>
      </c>
      <c r="E18" s="3">
        <f t="shared" si="5"/>
        <v>1</v>
      </c>
      <c r="F18" s="3">
        <f t="shared" si="5"/>
        <v>0.33333333333333331</v>
      </c>
      <c r="G18" s="3">
        <f t="shared" si="5"/>
        <v>0.5</v>
      </c>
      <c r="H18" s="3">
        <f t="shared" si="5"/>
        <v>0</v>
      </c>
      <c r="I18" s="3">
        <f t="shared" si="5"/>
        <v>0.33333333333333331</v>
      </c>
      <c r="J18" s="3">
        <f t="shared" si="5"/>
        <v>0.5</v>
      </c>
      <c r="K18" s="3">
        <f t="shared" si="5"/>
        <v>0.25</v>
      </c>
      <c r="L18" s="3">
        <f t="shared" si="5"/>
        <v>0.83333333333333337</v>
      </c>
      <c r="M18" s="3">
        <f t="shared" si="5"/>
        <v>0</v>
      </c>
      <c r="N18" s="3">
        <f t="shared" si="5"/>
        <v>0.6</v>
      </c>
      <c r="O18" s="3">
        <f t="shared" si="5"/>
        <v>0.75</v>
      </c>
      <c r="P18" s="3">
        <f t="shared" si="5"/>
        <v>0</v>
      </c>
      <c r="Q18" s="3">
        <f t="shared" si="5"/>
        <v>0.33333333333333331</v>
      </c>
      <c r="R18" s="3">
        <f t="shared" si="5"/>
        <v>0</v>
      </c>
      <c r="S18" s="3">
        <f t="shared" si="5"/>
        <v>0.33333333333333331</v>
      </c>
      <c r="T18" s="3">
        <f t="shared" si="5"/>
        <v>0.16666666666666666</v>
      </c>
      <c r="U18" s="3">
        <f t="shared" si="5"/>
        <v>0.75</v>
      </c>
      <c r="V18" s="3">
        <f t="shared" si="5"/>
        <v>0.8</v>
      </c>
      <c r="W18" s="3">
        <f>AVERAGE(B18:V18)</f>
        <v>0.41190476190476194</v>
      </c>
    </row>
    <row r="19" spans="1:23" x14ac:dyDescent="0.3">
      <c r="A19" s="2" t="s">
        <v>32</v>
      </c>
      <c r="B19" s="3">
        <f t="shared" ref="B19:V19" si="6">IFERROR((B11) / (B11 + B14), 0)</f>
        <v>1</v>
      </c>
      <c r="C19" s="3">
        <f t="shared" si="6"/>
        <v>0</v>
      </c>
      <c r="D19" s="3">
        <f t="shared" si="6"/>
        <v>1</v>
      </c>
      <c r="E19" s="3">
        <f t="shared" si="6"/>
        <v>0.8</v>
      </c>
      <c r="F19" s="3">
        <f t="shared" si="6"/>
        <v>1</v>
      </c>
      <c r="G19" s="3">
        <f t="shared" si="6"/>
        <v>1</v>
      </c>
      <c r="H19" s="3">
        <f t="shared" si="6"/>
        <v>0</v>
      </c>
      <c r="I19" s="3">
        <f t="shared" si="6"/>
        <v>1</v>
      </c>
      <c r="J19" s="3">
        <f t="shared" si="6"/>
        <v>1</v>
      </c>
      <c r="K19" s="3">
        <f t="shared" si="6"/>
        <v>1</v>
      </c>
      <c r="L19" s="3">
        <f t="shared" si="6"/>
        <v>1</v>
      </c>
      <c r="M19" s="3">
        <f t="shared" si="6"/>
        <v>0</v>
      </c>
      <c r="N19" s="3">
        <f t="shared" si="6"/>
        <v>0.75</v>
      </c>
      <c r="O19" s="3">
        <f t="shared" si="6"/>
        <v>0.6</v>
      </c>
      <c r="P19" s="3">
        <f t="shared" si="6"/>
        <v>0</v>
      </c>
      <c r="Q19" s="3">
        <f t="shared" si="6"/>
        <v>1</v>
      </c>
      <c r="R19" s="3">
        <f t="shared" si="6"/>
        <v>0</v>
      </c>
      <c r="S19" s="3">
        <f t="shared" si="6"/>
        <v>0.33333333333333331</v>
      </c>
      <c r="T19" s="3">
        <f t="shared" si="6"/>
        <v>1</v>
      </c>
      <c r="U19" s="3">
        <f t="shared" si="6"/>
        <v>0.6</v>
      </c>
      <c r="V19" s="3">
        <f t="shared" si="6"/>
        <v>0.8</v>
      </c>
      <c r="W19" s="3">
        <f>AVERAGE(B19:V19)</f>
        <v>0.6611111111111112</v>
      </c>
    </row>
    <row r="20" spans="1:23" x14ac:dyDescent="0.3">
      <c r="A20" s="2" t="s">
        <v>33</v>
      </c>
      <c r="B20" s="3">
        <f t="shared" ref="B20:V20" si="7">IFERROR(2 * (B18 * B19) / (B18 + B19), 0)</f>
        <v>0.5</v>
      </c>
      <c r="C20" s="3">
        <f t="shared" si="7"/>
        <v>0</v>
      </c>
      <c r="D20" s="3">
        <f t="shared" si="7"/>
        <v>0.90909090909090906</v>
      </c>
      <c r="E20" s="3">
        <f t="shared" si="7"/>
        <v>0.88888888888888895</v>
      </c>
      <c r="F20" s="3">
        <f t="shared" si="7"/>
        <v>0.5</v>
      </c>
      <c r="G20" s="3">
        <f t="shared" si="7"/>
        <v>0.66666666666666663</v>
      </c>
      <c r="H20" s="3">
        <f t="shared" si="7"/>
        <v>0</v>
      </c>
      <c r="I20" s="3">
        <f t="shared" si="7"/>
        <v>0.5</v>
      </c>
      <c r="J20" s="3">
        <f t="shared" si="7"/>
        <v>0.66666666666666663</v>
      </c>
      <c r="K20" s="3">
        <f t="shared" si="7"/>
        <v>0.4</v>
      </c>
      <c r="L20" s="3">
        <f t="shared" si="7"/>
        <v>0.90909090909090906</v>
      </c>
      <c r="M20" s="3">
        <f t="shared" si="7"/>
        <v>0</v>
      </c>
      <c r="N20" s="3">
        <f t="shared" si="7"/>
        <v>0.66666666666666652</v>
      </c>
      <c r="O20" s="3">
        <f t="shared" si="7"/>
        <v>0.66666666666666652</v>
      </c>
      <c r="P20" s="3">
        <f t="shared" si="7"/>
        <v>0</v>
      </c>
      <c r="Q20" s="3">
        <f t="shared" si="7"/>
        <v>0.5</v>
      </c>
      <c r="R20" s="3">
        <f t="shared" si="7"/>
        <v>0</v>
      </c>
      <c r="S20" s="3">
        <f t="shared" si="7"/>
        <v>0.33333333333333331</v>
      </c>
      <c r="T20" s="3">
        <f t="shared" si="7"/>
        <v>0.2857142857142857</v>
      </c>
      <c r="U20" s="3">
        <f t="shared" si="7"/>
        <v>0.66666666666666652</v>
      </c>
      <c r="V20" s="3">
        <f t="shared" si="7"/>
        <v>0.80000000000000016</v>
      </c>
      <c r="W20" s="3">
        <f>AVERAGE(B20:V20)</f>
        <v>0.46949769806912672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3"/>
  <sheetViews>
    <sheetView topLeftCell="B1" workbookViewId="0">
      <selection activeCell="S1" sqref="S1"/>
    </sheetView>
  </sheetViews>
  <sheetFormatPr baseColWidth="10" defaultColWidth="8.88671875" defaultRowHeight="14.4" x14ac:dyDescent="0.3"/>
  <cols>
    <col min="1" max="1" width="14.77734375" customWidth="1"/>
    <col min="2" max="2" width="13.88671875" customWidth="1"/>
    <col min="3" max="3" width="13.33203125" customWidth="1"/>
    <col min="23" max="23" width="11.332031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s="2" customFormat="1" x14ac:dyDescent="0.3">
      <c r="A2" s="2">
        <v>1</v>
      </c>
      <c r="B2" s="2" t="s">
        <v>24</v>
      </c>
      <c r="C2" s="2" t="s">
        <v>22</v>
      </c>
      <c r="D2" s="2" t="s">
        <v>24</v>
      </c>
      <c r="E2" s="2" t="s">
        <v>23</v>
      </c>
      <c r="F2" s="2" t="s">
        <v>22</v>
      </c>
      <c r="G2" s="2" t="s">
        <v>22</v>
      </c>
      <c r="H2" s="2" t="s">
        <v>22</v>
      </c>
      <c r="I2" s="2" t="s">
        <v>23</v>
      </c>
      <c r="J2" s="2" t="s">
        <v>22</v>
      </c>
      <c r="K2" s="2" t="s">
        <v>22</v>
      </c>
      <c r="L2" s="2" t="s">
        <v>24</v>
      </c>
      <c r="M2" s="2" t="s">
        <v>24</v>
      </c>
      <c r="N2" s="2" t="s">
        <v>24</v>
      </c>
      <c r="O2" s="2" t="s">
        <v>22</v>
      </c>
      <c r="P2" s="2" t="s">
        <v>23</v>
      </c>
      <c r="Q2" s="2" t="s">
        <v>22</v>
      </c>
      <c r="R2" s="2" t="s">
        <v>22</v>
      </c>
      <c r="S2" s="2" t="s">
        <v>22</v>
      </c>
      <c r="T2" s="2" t="s">
        <v>22</v>
      </c>
      <c r="U2" s="2" t="s">
        <v>22</v>
      </c>
      <c r="V2" s="2" t="s">
        <v>22</v>
      </c>
    </row>
    <row r="3" spans="1:22" s="2" customFormat="1" x14ac:dyDescent="0.3">
      <c r="A3" s="2">
        <v>2</v>
      </c>
      <c r="B3" s="2" t="s">
        <v>22</v>
      </c>
      <c r="C3" s="2" t="s">
        <v>23</v>
      </c>
      <c r="D3" s="2" t="s">
        <v>22</v>
      </c>
      <c r="E3" s="2" t="s">
        <v>24</v>
      </c>
      <c r="F3" s="2" t="s">
        <v>22</v>
      </c>
      <c r="G3" s="2" t="s">
        <v>24</v>
      </c>
      <c r="H3" s="2" t="s">
        <v>22</v>
      </c>
      <c r="I3" s="2" t="s">
        <v>22</v>
      </c>
      <c r="J3" s="2" t="s">
        <v>22</v>
      </c>
      <c r="K3" s="2" t="s">
        <v>22</v>
      </c>
      <c r="L3" s="2" t="s">
        <v>24</v>
      </c>
      <c r="M3" s="2" t="s">
        <v>24</v>
      </c>
      <c r="N3" s="2" t="s">
        <v>24</v>
      </c>
      <c r="O3" s="2" t="s">
        <v>24</v>
      </c>
      <c r="P3" s="2" t="s">
        <v>22</v>
      </c>
      <c r="Q3" s="2" t="s">
        <v>22</v>
      </c>
      <c r="R3" s="2" t="s">
        <v>22</v>
      </c>
      <c r="S3" s="2" t="s">
        <v>24</v>
      </c>
      <c r="T3" s="2" t="s">
        <v>22</v>
      </c>
      <c r="U3" s="2" t="s">
        <v>22</v>
      </c>
      <c r="V3" s="2" t="s">
        <v>24</v>
      </c>
    </row>
    <row r="4" spans="1:22" s="2" customFormat="1" x14ac:dyDescent="0.3">
      <c r="A4" s="2">
        <v>3</v>
      </c>
      <c r="B4" s="2" t="s">
        <v>24</v>
      </c>
      <c r="C4" s="2" t="s">
        <v>22</v>
      </c>
      <c r="D4" s="2" t="s">
        <v>22</v>
      </c>
      <c r="E4" s="2" t="s">
        <v>24</v>
      </c>
      <c r="F4" s="2" t="s">
        <v>22</v>
      </c>
      <c r="G4" s="2" t="s">
        <v>24</v>
      </c>
      <c r="H4" s="2" t="s">
        <v>22</v>
      </c>
      <c r="I4" s="2" t="s">
        <v>22</v>
      </c>
      <c r="J4" s="2" t="s">
        <v>22</v>
      </c>
      <c r="K4" s="2" t="s">
        <v>22</v>
      </c>
      <c r="L4" s="2" t="s">
        <v>24</v>
      </c>
      <c r="M4" s="2" t="s">
        <v>24</v>
      </c>
      <c r="N4" s="2" t="s">
        <v>24</v>
      </c>
      <c r="O4" s="2" t="s">
        <v>24</v>
      </c>
      <c r="P4" s="2" t="s">
        <v>23</v>
      </c>
      <c r="Q4" s="2" t="s">
        <v>22</v>
      </c>
      <c r="R4" s="2" t="s">
        <v>22</v>
      </c>
      <c r="S4" s="2" t="s">
        <v>24</v>
      </c>
      <c r="T4" s="2" t="s">
        <v>22</v>
      </c>
      <c r="U4" s="2" t="s">
        <v>24</v>
      </c>
      <c r="V4" s="2" t="s">
        <v>22</v>
      </c>
    </row>
    <row r="5" spans="1:22" s="2" customFormat="1" x14ac:dyDescent="0.3">
      <c r="A5" s="2">
        <v>4</v>
      </c>
      <c r="B5" s="2" t="s">
        <v>24</v>
      </c>
      <c r="C5" s="2" t="s">
        <v>22</v>
      </c>
      <c r="D5" s="2" t="s">
        <v>24</v>
      </c>
      <c r="E5" s="2" t="s">
        <v>24</v>
      </c>
      <c r="F5" s="2" t="s">
        <v>22</v>
      </c>
      <c r="G5" s="2" t="s">
        <v>24</v>
      </c>
      <c r="H5" s="2" t="s">
        <v>22</v>
      </c>
      <c r="I5" s="2" t="s">
        <v>24</v>
      </c>
      <c r="J5" s="2" t="s">
        <v>23</v>
      </c>
      <c r="K5" s="2" t="s">
        <v>24</v>
      </c>
      <c r="L5" s="2" t="s">
        <v>24</v>
      </c>
      <c r="M5" s="2" t="s">
        <v>24</v>
      </c>
      <c r="N5" s="2" t="s">
        <v>22</v>
      </c>
      <c r="O5" s="2" t="s">
        <v>23</v>
      </c>
      <c r="P5" s="2" t="s">
        <v>22</v>
      </c>
      <c r="Q5" s="2" t="s">
        <v>22</v>
      </c>
      <c r="R5" s="2" t="s">
        <v>23</v>
      </c>
      <c r="S5" s="2" t="s">
        <v>24</v>
      </c>
      <c r="T5" s="2" t="s">
        <v>24</v>
      </c>
      <c r="U5" s="2" t="s">
        <v>24</v>
      </c>
      <c r="V5" s="2" t="s">
        <v>24</v>
      </c>
    </row>
    <row r="6" spans="1:22" s="2" customFormat="1" x14ac:dyDescent="0.3">
      <c r="A6" s="2">
        <v>5</v>
      </c>
      <c r="B6" s="2" t="s">
        <v>24</v>
      </c>
      <c r="C6" s="2" t="s">
        <v>22</v>
      </c>
      <c r="D6" s="2" t="s">
        <v>24</v>
      </c>
      <c r="E6" s="2" t="s">
        <v>24</v>
      </c>
      <c r="F6" s="2" t="s">
        <v>22</v>
      </c>
      <c r="G6" s="2" t="s">
        <v>24</v>
      </c>
      <c r="H6" s="2" t="s">
        <v>22</v>
      </c>
      <c r="I6" s="2" t="s">
        <v>22</v>
      </c>
      <c r="J6" s="2" t="s">
        <v>23</v>
      </c>
      <c r="K6" s="2" t="s">
        <v>22</v>
      </c>
      <c r="L6" s="2" t="s">
        <v>24</v>
      </c>
      <c r="M6" s="2" t="s">
        <v>24</v>
      </c>
      <c r="N6" s="2" t="s">
        <v>24</v>
      </c>
      <c r="O6" s="2" t="s">
        <v>24</v>
      </c>
      <c r="P6" s="2" t="s">
        <v>23</v>
      </c>
      <c r="Q6" s="2" t="s">
        <v>22</v>
      </c>
      <c r="R6" s="2" t="s">
        <v>22</v>
      </c>
      <c r="S6" s="2" t="s">
        <v>24</v>
      </c>
      <c r="T6" s="2" t="s">
        <v>24</v>
      </c>
      <c r="U6" s="2" t="s">
        <v>24</v>
      </c>
      <c r="V6" s="2" t="s">
        <v>24</v>
      </c>
    </row>
    <row r="7" spans="1:22" s="2" customFormat="1" x14ac:dyDescent="0.3">
      <c r="A7" s="2">
        <v>6</v>
      </c>
      <c r="B7" s="2" t="s">
        <v>24</v>
      </c>
      <c r="C7" s="2" t="s">
        <v>22</v>
      </c>
      <c r="D7" s="2" t="s">
        <v>22</v>
      </c>
      <c r="E7" s="2" t="s">
        <v>22</v>
      </c>
      <c r="F7" s="2" t="s">
        <v>22</v>
      </c>
      <c r="G7" s="2" t="s">
        <v>24</v>
      </c>
      <c r="H7" s="2" t="s">
        <v>22</v>
      </c>
      <c r="I7" s="2" t="s">
        <v>22</v>
      </c>
      <c r="J7" s="2" t="s">
        <v>22</v>
      </c>
      <c r="K7" s="2" t="s">
        <v>22</v>
      </c>
      <c r="L7" s="2" t="s">
        <v>24</v>
      </c>
      <c r="M7" s="2" t="s">
        <v>22</v>
      </c>
      <c r="N7" s="2" t="s">
        <v>24</v>
      </c>
      <c r="O7" s="2" t="s">
        <v>22</v>
      </c>
      <c r="P7" s="2" t="s">
        <v>22</v>
      </c>
      <c r="Q7" s="2" t="s">
        <v>22</v>
      </c>
      <c r="R7" s="2" t="s">
        <v>22</v>
      </c>
      <c r="S7" s="2" t="s">
        <v>22</v>
      </c>
      <c r="T7" s="2" t="s">
        <v>22</v>
      </c>
      <c r="U7" s="2" t="s">
        <v>22</v>
      </c>
      <c r="V7" s="2" t="s">
        <v>22</v>
      </c>
    </row>
    <row r="9" spans="1:22" x14ac:dyDescent="0.3">
      <c r="O9" s="4"/>
    </row>
    <row r="11" spans="1:22" x14ac:dyDescent="0.3">
      <c r="A11" s="2" t="s">
        <v>26</v>
      </c>
      <c r="B11">
        <f t="shared" ref="B11:V11" si="0">COUNTIF(B2:B7, "A")</f>
        <v>5</v>
      </c>
      <c r="C11">
        <f t="shared" si="0"/>
        <v>0</v>
      </c>
      <c r="D11">
        <f t="shared" si="0"/>
        <v>3</v>
      </c>
      <c r="E11">
        <f t="shared" si="0"/>
        <v>4</v>
      </c>
      <c r="F11">
        <f t="shared" si="0"/>
        <v>0</v>
      </c>
      <c r="G11">
        <f t="shared" si="0"/>
        <v>5</v>
      </c>
      <c r="H11">
        <f t="shared" si="0"/>
        <v>0</v>
      </c>
      <c r="I11">
        <f t="shared" si="0"/>
        <v>1</v>
      </c>
      <c r="J11">
        <f t="shared" si="0"/>
        <v>0</v>
      </c>
      <c r="K11">
        <f t="shared" si="0"/>
        <v>1</v>
      </c>
      <c r="L11">
        <f>COUNTIF(L2:L7, "A")</f>
        <v>6</v>
      </c>
      <c r="M11">
        <f t="shared" si="0"/>
        <v>5</v>
      </c>
      <c r="N11">
        <f>COUNTIF(N2:N7, "A")</f>
        <v>5</v>
      </c>
      <c r="O11">
        <f t="shared" si="0"/>
        <v>3</v>
      </c>
      <c r="P11">
        <f t="shared" si="0"/>
        <v>0</v>
      </c>
      <c r="Q11">
        <f t="shared" si="0"/>
        <v>0</v>
      </c>
      <c r="R11">
        <f t="shared" si="0"/>
        <v>0</v>
      </c>
      <c r="S11">
        <f t="shared" si="0"/>
        <v>4</v>
      </c>
      <c r="T11">
        <f t="shared" si="0"/>
        <v>2</v>
      </c>
      <c r="U11">
        <f t="shared" si="0"/>
        <v>3</v>
      </c>
      <c r="V11">
        <f t="shared" si="0"/>
        <v>3</v>
      </c>
    </row>
    <row r="12" spans="1:22" x14ac:dyDescent="0.3">
      <c r="A12" s="2" t="s">
        <v>27</v>
      </c>
      <c r="B12">
        <f t="shared" ref="B12:V12" si="1">COUNTIF(B2:B7, "B")</f>
        <v>1</v>
      </c>
      <c r="C12">
        <f t="shared" si="1"/>
        <v>5</v>
      </c>
      <c r="D12">
        <f t="shared" si="1"/>
        <v>3</v>
      </c>
      <c r="E12">
        <f t="shared" si="1"/>
        <v>1</v>
      </c>
      <c r="F12">
        <f t="shared" si="1"/>
        <v>6</v>
      </c>
      <c r="G12">
        <f t="shared" si="1"/>
        <v>1</v>
      </c>
      <c r="H12">
        <f t="shared" si="1"/>
        <v>6</v>
      </c>
      <c r="I12">
        <f t="shared" si="1"/>
        <v>4</v>
      </c>
      <c r="J12">
        <f t="shared" si="1"/>
        <v>4</v>
      </c>
      <c r="K12">
        <f t="shared" si="1"/>
        <v>5</v>
      </c>
      <c r="L12">
        <f>COUNTIF(L2:L7, "B")</f>
        <v>0</v>
      </c>
      <c r="M12">
        <f t="shared" si="1"/>
        <v>1</v>
      </c>
      <c r="N12">
        <f>COUNTIF(N2:N7, "B")</f>
        <v>1</v>
      </c>
      <c r="O12">
        <f t="shared" si="1"/>
        <v>2</v>
      </c>
      <c r="P12">
        <f t="shared" si="1"/>
        <v>3</v>
      </c>
      <c r="Q12">
        <f t="shared" si="1"/>
        <v>6</v>
      </c>
      <c r="R12">
        <f t="shared" si="1"/>
        <v>5</v>
      </c>
      <c r="S12">
        <f t="shared" si="1"/>
        <v>2</v>
      </c>
      <c r="T12">
        <f t="shared" si="1"/>
        <v>4</v>
      </c>
      <c r="U12">
        <f t="shared" si="1"/>
        <v>3</v>
      </c>
      <c r="V12">
        <f t="shared" si="1"/>
        <v>3</v>
      </c>
    </row>
    <row r="13" spans="1:22" x14ac:dyDescent="0.3">
      <c r="A13" s="2" t="s">
        <v>28</v>
      </c>
      <c r="B13">
        <f t="shared" ref="B13:V13" si="2">COUNTIF(B2:B7, "C")</f>
        <v>0</v>
      </c>
      <c r="C13">
        <f t="shared" si="2"/>
        <v>1</v>
      </c>
      <c r="D13">
        <f t="shared" si="2"/>
        <v>0</v>
      </c>
      <c r="E13">
        <f t="shared" si="2"/>
        <v>1</v>
      </c>
      <c r="F13">
        <f t="shared" si="2"/>
        <v>0</v>
      </c>
      <c r="G13">
        <f t="shared" si="2"/>
        <v>0</v>
      </c>
      <c r="H13">
        <f t="shared" si="2"/>
        <v>0</v>
      </c>
      <c r="I13">
        <f t="shared" si="2"/>
        <v>1</v>
      </c>
      <c r="J13">
        <f t="shared" si="2"/>
        <v>2</v>
      </c>
      <c r="K13">
        <f t="shared" si="2"/>
        <v>0</v>
      </c>
      <c r="L13">
        <f>COUNTIF(L2:L7, "C")</f>
        <v>0</v>
      </c>
      <c r="M13">
        <f t="shared" si="2"/>
        <v>0</v>
      </c>
      <c r="N13">
        <f>COUNTIF(N2:N7, "C")</f>
        <v>0</v>
      </c>
      <c r="O13">
        <f t="shared" si="2"/>
        <v>1</v>
      </c>
      <c r="P13">
        <f t="shared" si="2"/>
        <v>3</v>
      </c>
      <c r="Q13">
        <f t="shared" si="2"/>
        <v>0</v>
      </c>
      <c r="R13">
        <f t="shared" si="2"/>
        <v>1</v>
      </c>
      <c r="S13">
        <f t="shared" si="2"/>
        <v>0</v>
      </c>
      <c r="T13">
        <f t="shared" si="2"/>
        <v>0</v>
      </c>
      <c r="U13">
        <f t="shared" si="2"/>
        <v>0</v>
      </c>
      <c r="V13">
        <f t="shared" si="2"/>
        <v>0</v>
      </c>
    </row>
    <row r="14" spans="1:22" x14ac:dyDescent="0.3">
      <c r="A14" s="2" t="s">
        <v>29</v>
      </c>
      <c r="B14">
        <f t="shared" ref="B14:V14" si="3">COUNTIF(B2:B7, "D")</f>
        <v>0</v>
      </c>
      <c r="C14">
        <f t="shared" si="3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>COUNTIF(L2:L7, "D")</f>
        <v>0</v>
      </c>
      <c r="M14">
        <f t="shared" si="3"/>
        <v>0</v>
      </c>
      <c r="N14">
        <f>COUNTIF(N2:N7, "D")</f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</row>
    <row r="17" spans="1:23" x14ac:dyDescent="0.3">
      <c r="A17" s="2" t="s">
        <v>30</v>
      </c>
      <c r="B17" s="3">
        <f t="shared" ref="B17:V17" si="4">IFERROR((B11 + B13) / (B11 + B12 + B13 + B14), 0)</f>
        <v>0.83333333333333337</v>
      </c>
      <c r="C17" s="3">
        <f t="shared" si="4"/>
        <v>0.16666666666666666</v>
      </c>
      <c r="D17" s="3">
        <f t="shared" si="4"/>
        <v>0.5</v>
      </c>
      <c r="E17" s="3">
        <f t="shared" si="4"/>
        <v>0.83333333333333337</v>
      </c>
      <c r="F17" s="3">
        <f t="shared" si="4"/>
        <v>0</v>
      </c>
      <c r="G17" s="3">
        <f t="shared" si="4"/>
        <v>0.83333333333333337</v>
      </c>
      <c r="H17" s="3">
        <f t="shared" si="4"/>
        <v>0</v>
      </c>
      <c r="I17" s="3">
        <f t="shared" si="4"/>
        <v>0.33333333333333331</v>
      </c>
      <c r="J17" s="3">
        <f t="shared" si="4"/>
        <v>0.33333333333333331</v>
      </c>
      <c r="K17" s="3">
        <f t="shared" si="4"/>
        <v>0.16666666666666666</v>
      </c>
      <c r="L17" s="3">
        <f t="shared" si="4"/>
        <v>1</v>
      </c>
      <c r="M17" s="3">
        <f t="shared" si="4"/>
        <v>0.83333333333333337</v>
      </c>
      <c r="N17" s="3">
        <f t="shared" si="4"/>
        <v>0.83333333333333337</v>
      </c>
      <c r="O17" s="3">
        <f t="shared" si="4"/>
        <v>0.66666666666666663</v>
      </c>
      <c r="P17" s="3">
        <f t="shared" si="4"/>
        <v>0.5</v>
      </c>
      <c r="Q17" s="3">
        <f t="shared" si="4"/>
        <v>0</v>
      </c>
      <c r="R17" s="3">
        <f t="shared" si="4"/>
        <v>0.16666666666666666</v>
      </c>
      <c r="S17" s="3">
        <f t="shared" si="4"/>
        <v>0.66666666666666663</v>
      </c>
      <c r="T17" s="3">
        <f t="shared" si="4"/>
        <v>0.33333333333333331</v>
      </c>
      <c r="U17" s="3">
        <f t="shared" si="4"/>
        <v>0.5</v>
      </c>
      <c r="V17" s="3">
        <f t="shared" si="4"/>
        <v>0.5</v>
      </c>
      <c r="W17" s="3">
        <f>AVERAGE(B17:V17)</f>
        <v>0.47619047619047616</v>
      </c>
    </row>
    <row r="18" spans="1:23" x14ac:dyDescent="0.3">
      <c r="A18" s="2" t="s">
        <v>31</v>
      </c>
      <c r="B18" s="3">
        <f t="shared" ref="B18:V18" si="5">IFERROR((B11) / (B11 + B12), 0)</f>
        <v>0.83333333333333337</v>
      </c>
      <c r="C18" s="3">
        <f t="shared" si="5"/>
        <v>0</v>
      </c>
      <c r="D18" s="3">
        <f t="shared" si="5"/>
        <v>0.5</v>
      </c>
      <c r="E18" s="3">
        <f t="shared" si="5"/>
        <v>0.8</v>
      </c>
      <c r="F18" s="3">
        <f t="shared" si="5"/>
        <v>0</v>
      </c>
      <c r="G18" s="3">
        <f t="shared" si="5"/>
        <v>0.83333333333333337</v>
      </c>
      <c r="H18" s="3">
        <f t="shared" si="5"/>
        <v>0</v>
      </c>
      <c r="I18" s="3">
        <f t="shared" si="5"/>
        <v>0.2</v>
      </c>
      <c r="J18" s="3">
        <f t="shared" si="5"/>
        <v>0</v>
      </c>
      <c r="K18" s="3">
        <f t="shared" si="5"/>
        <v>0.16666666666666666</v>
      </c>
      <c r="L18" s="3">
        <f t="shared" si="5"/>
        <v>1</v>
      </c>
      <c r="M18" s="3">
        <f t="shared" si="5"/>
        <v>0.83333333333333337</v>
      </c>
      <c r="N18" s="3">
        <f t="shared" si="5"/>
        <v>0.83333333333333337</v>
      </c>
      <c r="O18" s="3">
        <f t="shared" si="5"/>
        <v>0.6</v>
      </c>
      <c r="P18" s="3">
        <f t="shared" si="5"/>
        <v>0</v>
      </c>
      <c r="Q18" s="3">
        <f t="shared" si="5"/>
        <v>0</v>
      </c>
      <c r="R18" s="3">
        <f t="shared" si="5"/>
        <v>0</v>
      </c>
      <c r="S18" s="3">
        <f t="shared" si="5"/>
        <v>0.66666666666666663</v>
      </c>
      <c r="T18" s="3">
        <f t="shared" si="5"/>
        <v>0.33333333333333331</v>
      </c>
      <c r="U18" s="3">
        <f t="shared" si="5"/>
        <v>0.5</v>
      </c>
      <c r="V18" s="3">
        <f t="shared" si="5"/>
        <v>0.5</v>
      </c>
      <c r="W18" s="3">
        <f>AVERAGE(B18:V18)</f>
        <v>0.40952380952380951</v>
      </c>
    </row>
    <row r="19" spans="1:23" x14ac:dyDescent="0.3">
      <c r="A19" s="2" t="s">
        <v>32</v>
      </c>
      <c r="B19" s="3">
        <f t="shared" ref="B19:V19" si="6">IFERROR((B11) / (B11 + B14), 0)</f>
        <v>1</v>
      </c>
      <c r="C19" s="3">
        <f t="shared" si="6"/>
        <v>0</v>
      </c>
      <c r="D19" s="3">
        <f t="shared" si="6"/>
        <v>1</v>
      </c>
      <c r="E19" s="3">
        <f t="shared" si="6"/>
        <v>1</v>
      </c>
      <c r="F19" s="3">
        <f t="shared" si="6"/>
        <v>0</v>
      </c>
      <c r="G19" s="3">
        <f t="shared" si="6"/>
        <v>1</v>
      </c>
      <c r="H19" s="3">
        <f t="shared" si="6"/>
        <v>0</v>
      </c>
      <c r="I19" s="3">
        <f t="shared" si="6"/>
        <v>1</v>
      </c>
      <c r="J19" s="3">
        <f t="shared" si="6"/>
        <v>0</v>
      </c>
      <c r="K19" s="3">
        <f t="shared" si="6"/>
        <v>1</v>
      </c>
      <c r="L19" s="3">
        <f t="shared" si="6"/>
        <v>1</v>
      </c>
      <c r="M19" s="3">
        <f t="shared" si="6"/>
        <v>1</v>
      </c>
      <c r="N19" s="3">
        <f t="shared" si="6"/>
        <v>1</v>
      </c>
      <c r="O19" s="3">
        <f t="shared" si="6"/>
        <v>1</v>
      </c>
      <c r="P19" s="3">
        <f t="shared" si="6"/>
        <v>0</v>
      </c>
      <c r="Q19" s="3">
        <f t="shared" si="6"/>
        <v>0</v>
      </c>
      <c r="R19" s="3">
        <f t="shared" si="6"/>
        <v>0</v>
      </c>
      <c r="S19" s="3">
        <f t="shared" si="6"/>
        <v>1</v>
      </c>
      <c r="T19" s="3">
        <f t="shared" si="6"/>
        <v>1</v>
      </c>
      <c r="U19" s="3">
        <f t="shared" si="6"/>
        <v>1</v>
      </c>
      <c r="V19" s="3">
        <f t="shared" si="6"/>
        <v>1</v>
      </c>
      <c r="W19" s="3">
        <f>AVERAGE(B19:V19)</f>
        <v>0.66666666666666663</v>
      </c>
    </row>
    <row r="20" spans="1:23" x14ac:dyDescent="0.3">
      <c r="A20" s="2" t="s">
        <v>33</v>
      </c>
      <c r="B20" s="3">
        <f t="shared" ref="B20:V20" si="7">IFERROR(2 * (B18 * B19) / (B18 + B19), 0)</f>
        <v>0.90909090909090906</v>
      </c>
      <c r="C20" s="3">
        <f t="shared" si="7"/>
        <v>0</v>
      </c>
      <c r="D20" s="3">
        <f t="shared" si="7"/>
        <v>0.66666666666666663</v>
      </c>
      <c r="E20" s="3">
        <f t="shared" si="7"/>
        <v>0.88888888888888895</v>
      </c>
      <c r="F20" s="3">
        <f t="shared" si="7"/>
        <v>0</v>
      </c>
      <c r="G20" s="3">
        <f t="shared" si="7"/>
        <v>0.90909090909090906</v>
      </c>
      <c r="H20" s="3">
        <f t="shared" si="7"/>
        <v>0</v>
      </c>
      <c r="I20" s="3">
        <f t="shared" si="7"/>
        <v>0.33333333333333337</v>
      </c>
      <c r="J20" s="3">
        <f t="shared" si="7"/>
        <v>0</v>
      </c>
      <c r="K20" s="3">
        <f t="shared" si="7"/>
        <v>0.2857142857142857</v>
      </c>
      <c r="L20" s="3">
        <f t="shared" si="7"/>
        <v>1</v>
      </c>
      <c r="M20" s="3">
        <f t="shared" si="7"/>
        <v>0.90909090909090906</v>
      </c>
      <c r="N20" s="3">
        <f t="shared" si="7"/>
        <v>0.90909090909090906</v>
      </c>
      <c r="O20" s="3">
        <f t="shared" si="7"/>
        <v>0.74999999999999989</v>
      </c>
      <c r="P20" s="3">
        <f t="shared" si="7"/>
        <v>0</v>
      </c>
      <c r="Q20" s="3">
        <f t="shared" si="7"/>
        <v>0</v>
      </c>
      <c r="R20" s="3">
        <f t="shared" si="7"/>
        <v>0</v>
      </c>
      <c r="S20" s="3">
        <f t="shared" si="7"/>
        <v>0.8</v>
      </c>
      <c r="T20" s="3">
        <f t="shared" si="7"/>
        <v>0.5</v>
      </c>
      <c r="U20" s="3">
        <f t="shared" si="7"/>
        <v>0.66666666666666663</v>
      </c>
      <c r="V20" s="3">
        <f t="shared" si="7"/>
        <v>0.66666666666666663</v>
      </c>
      <c r="W20" s="3">
        <f>AVERAGE(B20:V20)</f>
        <v>0.48544286401429254</v>
      </c>
    </row>
    <row r="22" spans="1:23" x14ac:dyDescent="0.3">
      <c r="C22" t="s">
        <v>34</v>
      </c>
      <c r="D22" t="s">
        <v>35</v>
      </c>
      <c r="F22" t="s">
        <v>36</v>
      </c>
      <c r="G22" t="s">
        <v>37</v>
      </c>
      <c r="H22" t="s">
        <v>38</v>
      </c>
      <c r="I22" t="s">
        <v>38</v>
      </c>
      <c r="J22" t="s">
        <v>39</v>
      </c>
      <c r="K22" t="s">
        <v>40</v>
      </c>
      <c r="N22" t="s">
        <v>41</v>
      </c>
      <c r="O22" t="s">
        <v>41</v>
      </c>
      <c r="P22" t="s">
        <v>42</v>
      </c>
      <c r="Q22" t="s">
        <v>43</v>
      </c>
      <c r="S22" t="s">
        <v>45</v>
      </c>
      <c r="T22" t="s">
        <v>46</v>
      </c>
    </row>
    <row r="23" spans="1:23" x14ac:dyDescent="0.3">
      <c r="Q23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Pydantic</vt:lpstr>
      <vt:lpstr>SinPydantic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Ángel Manuel García Carmona</cp:lastModifiedBy>
  <dcterms:created xsi:type="dcterms:W3CDTF">2025-02-10T18:07:01Z</dcterms:created>
  <dcterms:modified xsi:type="dcterms:W3CDTF">2025-02-27T17:43:16Z</dcterms:modified>
</cp:coreProperties>
</file>