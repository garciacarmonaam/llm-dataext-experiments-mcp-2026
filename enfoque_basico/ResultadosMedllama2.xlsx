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\\wsl.localhost\Ubuntu\home\amgc\docs\urgencias\"/>
    </mc:Choice>
  </mc:AlternateContent>
  <xr:revisionPtr revIDLastSave="0" documentId="13_ncr:1_{2A72F73E-50F0-4802-B661-93EB921AB5F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inPydantic" sheetId="1" r:id="rId1"/>
    <sheet name="Pydanti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4" i="2" l="1"/>
  <c r="S13" i="2"/>
  <c r="S12" i="2"/>
  <c r="S11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T14" i="2"/>
  <c r="U14" i="2"/>
  <c r="V14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T13" i="2"/>
  <c r="U13" i="2"/>
  <c r="V13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T12" i="2"/>
  <c r="U12" i="2"/>
  <c r="V12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T11" i="2"/>
  <c r="U11" i="2"/>
  <c r="V11" i="2"/>
  <c r="D11" i="2"/>
  <c r="D18" i="2" s="1"/>
  <c r="C11" i="2"/>
  <c r="B14" i="2"/>
  <c r="B13" i="2"/>
  <c r="B12" i="2"/>
  <c r="B11" i="2"/>
  <c r="N19" i="2" l="1"/>
  <c r="R18" i="2"/>
  <c r="M19" i="2"/>
  <c r="L19" i="2"/>
  <c r="K19" i="2"/>
  <c r="J19" i="2"/>
  <c r="V19" i="2"/>
  <c r="Q19" i="2"/>
  <c r="P19" i="2"/>
  <c r="O19" i="2"/>
  <c r="U17" i="2"/>
  <c r="T18" i="2"/>
  <c r="D17" i="2"/>
  <c r="I17" i="2"/>
  <c r="F18" i="2"/>
  <c r="H18" i="2"/>
  <c r="G19" i="2"/>
  <c r="H19" i="2"/>
  <c r="S18" i="2"/>
  <c r="C18" i="2"/>
  <c r="B17" i="2"/>
  <c r="B18" i="2"/>
  <c r="I18" i="2"/>
  <c r="K17" i="2"/>
  <c r="M17" i="2"/>
  <c r="U18" i="2"/>
  <c r="V18" i="2"/>
  <c r="B19" i="2"/>
  <c r="T17" i="2"/>
  <c r="F19" i="2"/>
  <c r="K18" i="2"/>
  <c r="J18" i="2"/>
  <c r="I19" i="2"/>
  <c r="R19" i="2"/>
  <c r="E19" i="2"/>
  <c r="S19" i="2"/>
  <c r="E18" i="2"/>
  <c r="C19" i="2"/>
  <c r="T19" i="2"/>
  <c r="G18" i="2"/>
  <c r="E17" i="2"/>
  <c r="D19" i="2"/>
  <c r="D20" i="2" s="1"/>
  <c r="J17" i="2"/>
  <c r="U19" i="2"/>
  <c r="L17" i="2"/>
  <c r="H17" i="2"/>
  <c r="V17" i="2"/>
  <c r="N17" i="2"/>
  <c r="L18" i="2"/>
  <c r="O17" i="2"/>
  <c r="M18" i="2"/>
  <c r="P17" i="2"/>
  <c r="N18" i="2"/>
  <c r="Q17" i="2"/>
  <c r="O18" i="2"/>
  <c r="O20" i="2" s="1"/>
  <c r="R17" i="2"/>
  <c r="P18" i="2"/>
  <c r="S17" i="2"/>
  <c r="Q18" i="2"/>
  <c r="C17" i="2"/>
  <c r="F17" i="2"/>
  <c r="G17" i="2"/>
  <c r="T20" i="2" l="1"/>
  <c r="V20" i="2"/>
  <c r="R20" i="2"/>
  <c r="Q20" i="2"/>
  <c r="N20" i="2"/>
  <c r="P20" i="2"/>
  <c r="J20" i="2"/>
  <c r="M20" i="2"/>
  <c r="L20" i="2"/>
  <c r="K20" i="2"/>
  <c r="C20" i="2"/>
  <c r="H20" i="2"/>
  <c r="G20" i="2"/>
  <c r="F20" i="2"/>
  <c r="S20" i="2"/>
  <c r="B20" i="2"/>
  <c r="W17" i="2"/>
  <c r="W18" i="2"/>
  <c r="W19" i="2"/>
  <c r="E20" i="2"/>
  <c r="I20" i="2"/>
  <c r="U20" i="2"/>
  <c r="W20" i="2" l="1"/>
  <c r="I18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V11" i="1"/>
  <c r="V19" i="1" s="1"/>
  <c r="U11" i="1"/>
  <c r="T11" i="1"/>
  <c r="S11" i="1"/>
  <c r="R11" i="1"/>
  <c r="Q11" i="1"/>
  <c r="Q19" i="1" s="1"/>
  <c r="P11" i="1"/>
  <c r="O11" i="1"/>
  <c r="O19" i="1" s="1"/>
  <c r="N11" i="1"/>
  <c r="N19" i="1" s="1"/>
  <c r="M11" i="1"/>
  <c r="M19" i="1" s="1"/>
  <c r="L11" i="1"/>
  <c r="K11" i="1"/>
  <c r="J11" i="1"/>
  <c r="J19" i="1" s="1"/>
  <c r="I11" i="1"/>
  <c r="H11" i="1"/>
  <c r="G11" i="1"/>
  <c r="F11" i="1"/>
  <c r="E11" i="1"/>
  <c r="E18" i="1" s="1"/>
  <c r="D11" i="1"/>
  <c r="C11" i="1"/>
  <c r="C19" i="1" s="1"/>
  <c r="B11" i="1"/>
  <c r="V18" i="1" l="1"/>
  <c r="V20" i="1" s="1"/>
  <c r="V17" i="1"/>
  <c r="U19" i="1"/>
  <c r="U18" i="1"/>
  <c r="T19" i="1"/>
  <c r="T18" i="1"/>
  <c r="T20" i="1" s="1"/>
  <c r="S18" i="1"/>
  <c r="S19" i="1"/>
  <c r="R19" i="1"/>
  <c r="P19" i="1"/>
  <c r="M17" i="1"/>
  <c r="L18" i="1"/>
  <c r="L17" i="1"/>
  <c r="L19" i="1"/>
  <c r="L20" i="1" s="1"/>
  <c r="K17" i="1"/>
  <c r="K18" i="1"/>
  <c r="J18" i="1"/>
  <c r="J20" i="1" s="1"/>
  <c r="J17" i="1"/>
  <c r="I17" i="1"/>
  <c r="I19" i="1"/>
  <c r="I20" i="1" s="1"/>
  <c r="H17" i="1"/>
  <c r="H18" i="1"/>
  <c r="H19" i="1"/>
  <c r="G18" i="1"/>
  <c r="G19" i="1"/>
  <c r="F18" i="1"/>
  <c r="F19" i="1"/>
  <c r="E17" i="1"/>
  <c r="E19" i="1"/>
  <c r="E20" i="1" s="1"/>
  <c r="D19" i="1"/>
  <c r="D17" i="1"/>
  <c r="C17" i="1"/>
  <c r="B19" i="1"/>
  <c r="B20" i="1" s="1"/>
  <c r="B17" i="1"/>
  <c r="B18" i="1"/>
  <c r="N17" i="1"/>
  <c r="O17" i="1"/>
  <c r="M18" i="1"/>
  <c r="M20" i="1" s="1"/>
  <c r="K19" i="1"/>
  <c r="P17" i="1"/>
  <c r="N18" i="1"/>
  <c r="N20" i="1" s="1"/>
  <c r="Q17" i="1"/>
  <c r="O18" i="1"/>
  <c r="O20" i="1" s="1"/>
  <c r="R17" i="1"/>
  <c r="P18" i="1"/>
  <c r="S17" i="1"/>
  <c r="Q18" i="1"/>
  <c r="Q20" i="1" s="1"/>
  <c r="T17" i="1"/>
  <c r="R18" i="1"/>
  <c r="R20" i="1" s="1"/>
  <c r="U17" i="1"/>
  <c r="C18" i="1"/>
  <c r="C20" i="1" s="1"/>
  <c r="D18" i="1"/>
  <c r="D20" i="1" s="1"/>
  <c r="G17" i="1"/>
  <c r="F17" i="1"/>
  <c r="U20" i="1" l="1"/>
  <c r="S20" i="1"/>
  <c r="P20" i="1"/>
  <c r="K20" i="1"/>
  <c r="W20" i="1" s="1"/>
  <c r="H20" i="1"/>
  <c r="F20" i="1"/>
  <c r="G20" i="1"/>
  <c r="W17" i="1"/>
  <c r="W19" i="1"/>
  <c r="W18" i="1"/>
</calcChain>
</file>

<file path=xl/sharedStrings.xml><?xml version="1.0" encoding="utf-8"?>
<sst xmlns="http://schemas.openxmlformats.org/spreadsheetml/2006/main" count="312" uniqueCount="33">
  <si>
    <t>id_episodio</t>
  </si>
  <si>
    <t>fecha_nacimiento</t>
  </si>
  <si>
    <t>edad</t>
  </si>
  <si>
    <t>sexo</t>
  </si>
  <si>
    <t>fecha_ingreso_hospital</t>
  </si>
  <si>
    <t>fecha_ingreso_uci</t>
  </si>
  <si>
    <t>hora_ingreso_uci</t>
  </si>
  <si>
    <t>estancia_preuci</t>
  </si>
  <si>
    <t>reingreso</t>
  </si>
  <si>
    <t>numero_ingresos_previos</t>
  </si>
  <si>
    <t>tipo_ingreso_uci</t>
  </si>
  <si>
    <t>tipo_paciente</t>
  </si>
  <si>
    <t>procedencia</t>
  </si>
  <si>
    <t>fecha_alta_uci</t>
  </si>
  <si>
    <t>hora_alta_uci</t>
  </si>
  <si>
    <t>estancia_uci</t>
  </si>
  <si>
    <t>estancia_postuci</t>
  </si>
  <si>
    <t>destino_alta_uci</t>
  </si>
  <si>
    <t>estado_paciente</t>
  </si>
  <si>
    <t>motivo_ingreso</t>
  </si>
  <si>
    <t>diagnostico</t>
  </si>
  <si>
    <t>id</t>
  </si>
  <si>
    <t>A - VP</t>
  </si>
  <si>
    <t>B - FP</t>
  </si>
  <si>
    <t>C - VN</t>
  </si>
  <si>
    <t>D - FN</t>
  </si>
  <si>
    <t>Accuracy</t>
  </si>
  <si>
    <t>Precision</t>
  </si>
  <si>
    <t>Recall</t>
  </si>
  <si>
    <t>F1</t>
  </si>
  <si>
    <t>B</t>
  </si>
  <si>
    <t>A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</si>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</sst>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right"/>
    </xf>
    <xf numFmtId="2" fontId="0" fillId="0" borderId="0" xfId="0" applyNumberFormat="1"/>
    <xf numFmtId="0" fontId="2" fillId="0" borderId="0" xfId="0" applyFont="1"/>
    <xf numFmtId="0" fontId="0" fillId="0" borderId="0" xfId="0" applyFont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"/>
  <sheetViews>
    <sheetView topLeftCell="J1" workbookViewId="0">
      <selection activeCell="N1" sqref="N1"/>
    </sheetView>
  </sheetViews>
  <sheetFormatPr baseColWidth="10" defaultColWidth="8.88671875" defaultRowHeight="14.4" x14ac:dyDescent="0.3"/>
  <cols>
    <col min="1" max="1" width="14.77734375" customWidth="1"/>
  </cols>
  <sheetData>
    <row r="1" spans="1:22" x14ac:dyDescent="0.3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3">
      <c r="A2" s="2">
        <v>1</v>
      </c>
      <c r="B2" t="s">
        <v>30</v>
      </c>
      <c r="C2" t="s">
        <v>30</v>
      </c>
      <c r="D2" t="s">
        <v>30</v>
      </c>
      <c r="E2" t="s">
        <v>30</v>
      </c>
      <c r="F2" t="s">
        <v>30</v>
      </c>
      <c r="G2" t="s">
        <v>30</v>
      </c>
      <c r="H2" t="s">
        <v>30</v>
      </c>
      <c r="I2" t="s">
        <v>30</v>
      </c>
      <c r="J2" t="s">
        <v>31</v>
      </c>
      <c r="K2" t="s">
        <v>30</v>
      </c>
      <c r="L2" t="s">
        <v>30</v>
      </c>
      <c r="M2" t="s">
        <v>30</v>
      </c>
      <c r="N2" t="s">
        <v>30</v>
      </c>
      <c r="O2" t="s">
        <v>31</v>
      </c>
      <c r="P2" t="s">
        <v>30</v>
      </c>
      <c r="Q2" t="s">
        <v>30</v>
      </c>
      <c r="R2" t="s">
        <v>30</v>
      </c>
      <c r="S2" t="s">
        <v>30</v>
      </c>
      <c r="T2" t="s">
        <v>30</v>
      </c>
      <c r="U2" t="s">
        <v>30</v>
      </c>
      <c r="V2" t="s">
        <v>30</v>
      </c>
    </row>
    <row r="3" spans="1:22" x14ac:dyDescent="0.3">
      <c r="A3" s="2">
        <v>2</v>
      </c>
      <c r="B3" t="s">
        <v>30</v>
      </c>
      <c r="C3" t="s">
        <v>30</v>
      </c>
      <c r="D3" t="s">
        <v>31</v>
      </c>
      <c r="E3" t="s">
        <v>31</v>
      </c>
      <c r="F3" t="s">
        <v>30</v>
      </c>
      <c r="G3" t="s">
        <v>30</v>
      </c>
      <c r="H3" t="s">
        <v>30</v>
      </c>
      <c r="I3" t="s">
        <v>30</v>
      </c>
      <c r="J3" t="s">
        <v>32</v>
      </c>
      <c r="K3" t="s">
        <v>30</v>
      </c>
      <c r="L3" t="s">
        <v>30</v>
      </c>
      <c r="M3" t="s">
        <v>30</v>
      </c>
      <c r="N3" t="s">
        <v>30</v>
      </c>
      <c r="O3" t="s">
        <v>31</v>
      </c>
      <c r="P3" t="s">
        <v>30</v>
      </c>
      <c r="Q3" t="s">
        <v>30</v>
      </c>
      <c r="R3" t="s">
        <v>30</v>
      </c>
      <c r="S3" t="s">
        <v>30</v>
      </c>
      <c r="T3" t="s">
        <v>30</v>
      </c>
      <c r="U3" t="s">
        <v>31</v>
      </c>
      <c r="V3" t="s">
        <v>31</v>
      </c>
    </row>
    <row r="4" spans="1:22" x14ac:dyDescent="0.3">
      <c r="A4" s="2">
        <v>3</v>
      </c>
      <c r="B4" t="s">
        <v>30</v>
      </c>
      <c r="C4" t="s">
        <v>30</v>
      </c>
      <c r="D4" t="s">
        <v>31</v>
      </c>
      <c r="E4" t="s">
        <v>30</v>
      </c>
      <c r="F4" t="s">
        <v>30</v>
      </c>
      <c r="G4" t="s">
        <v>30</v>
      </c>
      <c r="H4" t="s">
        <v>30</v>
      </c>
      <c r="I4" t="s">
        <v>30</v>
      </c>
      <c r="J4" t="s">
        <v>32</v>
      </c>
      <c r="K4" t="s">
        <v>30</v>
      </c>
      <c r="L4" t="s">
        <v>31</v>
      </c>
      <c r="M4" t="s">
        <v>30</v>
      </c>
      <c r="N4" t="s">
        <v>31</v>
      </c>
      <c r="O4" t="s">
        <v>31</v>
      </c>
      <c r="P4" t="s">
        <v>30</v>
      </c>
      <c r="Q4" t="s">
        <v>31</v>
      </c>
      <c r="R4" t="s">
        <v>32</v>
      </c>
      <c r="S4" t="s">
        <v>30</v>
      </c>
      <c r="T4" t="s">
        <v>30</v>
      </c>
      <c r="U4" t="s">
        <v>30</v>
      </c>
      <c r="V4" t="s">
        <v>30</v>
      </c>
    </row>
    <row r="5" spans="1:22" x14ac:dyDescent="0.3">
      <c r="A5" s="2">
        <v>4</v>
      </c>
      <c r="B5" t="s">
        <v>30</v>
      </c>
      <c r="C5" t="s">
        <v>30</v>
      </c>
      <c r="D5" t="s">
        <v>31</v>
      </c>
      <c r="E5" t="s">
        <v>30</v>
      </c>
      <c r="F5" t="s">
        <v>30</v>
      </c>
      <c r="G5" t="s">
        <v>31</v>
      </c>
      <c r="H5" t="s">
        <v>30</v>
      </c>
      <c r="I5" t="s">
        <v>30</v>
      </c>
      <c r="J5" t="s">
        <v>32</v>
      </c>
      <c r="K5" t="s">
        <v>30</v>
      </c>
      <c r="L5" t="s">
        <v>31</v>
      </c>
      <c r="M5" t="s">
        <v>30</v>
      </c>
      <c r="N5" t="s">
        <v>31</v>
      </c>
      <c r="O5" t="s">
        <v>30</v>
      </c>
      <c r="P5" t="s">
        <v>30</v>
      </c>
      <c r="Q5" t="s">
        <v>30</v>
      </c>
      <c r="R5" t="s">
        <v>32</v>
      </c>
      <c r="S5" s="4" t="s">
        <v>30</v>
      </c>
      <c r="T5" t="s">
        <v>30</v>
      </c>
      <c r="U5" t="s">
        <v>30</v>
      </c>
      <c r="V5" t="s">
        <v>30</v>
      </c>
    </row>
    <row r="6" spans="1:22" x14ac:dyDescent="0.3">
      <c r="A6" s="2">
        <v>5</v>
      </c>
      <c r="B6" t="s">
        <v>31</v>
      </c>
      <c r="C6" t="s">
        <v>30</v>
      </c>
      <c r="D6" t="s">
        <v>31</v>
      </c>
      <c r="E6" t="s">
        <v>31</v>
      </c>
      <c r="F6" t="s">
        <v>30</v>
      </c>
      <c r="G6" t="s">
        <v>30</v>
      </c>
      <c r="H6" t="s">
        <v>30</v>
      </c>
      <c r="I6" t="s">
        <v>30</v>
      </c>
      <c r="J6" t="s">
        <v>32</v>
      </c>
      <c r="K6" t="s">
        <v>32</v>
      </c>
      <c r="L6" t="s">
        <v>30</v>
      </c>
      <c r="M6" t="s">
        <v>30</v>
      </c>
      <c r="N6" t="s">
        <v>31</v>
      </c>
      <c r="O6" t="s">
        <v>31</v>
      </c>
      <c r="P6" t="s">
        <v>30</v>
      </c>
      <c r="Q6" t="s">
        <v>30</v>
      </c>
      <c r="R6" t="s">
        <v>32</v>
      </c>
      <c r="S6" t="s">
        <v>30</v>
      </c>
      <c r="T6" t="s">
        <v>30</v>
      </c>
      <c r="U6" t="s">
        <v>31</v>
      </c>
      <c r="V6" t="s">
        <v>30</v>
      </c>
    </row>
    <row r="7" spans="1:22" x14ac:dyDescent="0.3">
      <c r="A7" s="2">
        <v>6</v>
      </c>
      <c r="B7" t="s">
        <v>31</v>
      </c>
      <c r="C7" t="s">
        <v>30</v>
      </c>
      <c r="D7" t="s">
        <v>30</v>
      </c>
      <c r="E7" t="s">
        <v>31</v>
      </c>
      <c r="F7" t="s">
        <v>30</v>
      </c>
      <c r="G7" t="s">
        <v>31</v>
      </c>
      <c r="H7" t="s">
        <v>30</v>
      </c>
      <c r="I7" t="s">
        <v>30</v>
      </c>
      <c r="J7" t="s">
        <v>32</v>
      </c>
      <c r="K7" t="s">
        <v>32</v>
      </c>
      <c r="L7" t="s">
        <v>30</v>
      </c>
      <c r="M7" t="s">
        <v>30</v>
      </c>
      <c r="N7" t="s">
        <v>31</v>
      </c>
      <c r="O7" t="s">
        <v>31</v>
      </c>
      <c r="P7" t="s">
        <v>30</v>
      </c>
      <c r="Q7" t="s">
        <v>30</v>
      </c>
      <c r="R7" t="s">
        <v>32</v>
      </c>
      <c r="S7" t="s">
        <v>31</v>
      </c>
      <c r="T7" t="s">
        <v>30</v>
      </c>
      <c r="U7" t="s">
        <v>31</v>
      </c>
      <c r="V7" t="s">
        <v>31</v>
      </c>
    </row>
    <row r="9" spans="1:22" x14ac:dyDescent="0.3">
      <c r="S9" s="4"/>
    </row>
    <row r="11" spans="1:22" x14ac:dyDescent="0.3">
      <c r="A11" s="2" t="s">
        <v>22</v>
      </c>
      <c r="B11">
        <f t="shared" ref="B11:V11" si="0">COUNTIF(B2:B7, "A")</f>
        <v>2</v>
      </c>
      <c r="C11">
        <f t="shared" si="0"/>
        <v>0</v>
      </c>
      <c r="D11">
        <f t="shared" si="0"/>
        <v>4</v>
      </c>
      <c r="E11">
        <f t="shared" si="0"/>
        <v>3</v>
      </c>
      <c r="F11">
        <f t="shared" si="0"/>
        <v>0</v>
      </c>
      <c r="G11">
        <f t="shared" si="0"/>
        <v>2</v>
      </c>
      <c r="H11">
        <f t="shared" si="0"/>
        <v>0</v>
      </c>
      <c r="I11">
        <f t="shared" si="0"/>
        <v>0</v>
      </c>
      <c r="J11">
        <f t="shared" si="0"/>
        <v>1</v>
      </c>
      <c r="K11">
        <f t="shared" si="0"/>
        <v>0</v>
      </c>
      <c r="L11">
        <f t="shared" si="0"/>
        <v>2</v>
      </c>
      <c r="M11">
        <f t="shared" si="0"/>
        <v>0</v>
      </c>
      <c r="N11">
        <f t="shared" si="0"/>
        <v>4</v>
      </c>
      <c r="O11">
        <f t="shared" si="0"/>
        <v>5</v>
      </c>
      <c r="P11">
        <f t="shared" si="0"/>
        <v>0</v>
      </c>
      <c r="Q11">
        <f t="shared" si="0"/>
        <v>1</v>
      </c>
      <c r="R11">
        <f t="shared" si="0"/>
        <v>0</v>
      </c>
      <c r="S11">
        <f t="shared" si="0"/>
        <v>1</v>
      </c>
      <c r="T11">
        <f t="shared" si="0"/>
        <v>0</v>
      </c>
      <c r="U11">
        <f t="shared" si="0"/>
        <v>3</v>
      </c>
      <c r="V11">
        <f t="shared" si="0"/>
        <v>2</v>
      </c>
    </row>
    <row r="12" spans="1:22" x14ac:dyDescent="0.3">
      <c r="A12" s="2" t="s">
        <v>23</v>
      </c>
      <c r="B12">
        <f t="shared" ref="B12:V12" si="1">COUNTIF(B2:B7, "B")</f>
        <v>4</v>
      </c>
      <c r="C12">
        <f t="shared" si="1"/>
        <v>6</v>
      </c>
      <c r="D12">
        <f t="shared" si="1"/>
        <v>2</v>
      </c>
      <c r="E12">
        <f t="shared" si="1"/>
        <v>3</v>
      </c>
      <c r="F12">
        <f t="shared" si="1"/>
        <v>6</v>
      </c>
      <c r="G12">
        <f t="shared" si="1"/>
        <v>4</v>
      </c>
      <c r="H12">
        <f t="shared" si="1"/>
        <v>6</v>
      </c>
      <c r="I12">
        <f t="shared" si="1"/>
        <v>6</v>
      </c>
      <c r="J12">
        <f t="shared" si="1"/>
        <v>0</v>
      </c>
      <c r="K12">
        <f t="shared" si="1"/>
        <v>4</v>
      </c>
      <c r="L12">
        <f t="shared" si="1"/>
        <v>4</v>
      </c>
      <c r="M12">
        <f t="shared" si="1"/>
        <v>6</v>
      </c>
      <c r="N12">
        <f t="shared" si="1"/>
        <v>2</v>
      </c>
      <c r="O12">
        <f t="shared" si="1"/>
        <v>1</v>
      </c>
      <c r="P12">
        <f t="shared" si="1"/>
        <v>6</v>
      </c>
      <c r="Q12">
        <f t="shared" si="1"/>
        <v>5</v>
      </c>
      <c r="R12">
        <f t="shared" si="1"/>
        <v>2</v>
      </c>
      <c r="S12">
        <f t="shared" si="1"/>
        <v>5</v>
      </c>
      <c r="T12">
        <f t="shared" si="1"/>
        <v>6</v>
      </c>
      <c r="U12">
        <f t="shared" si="1"/>
        <v>3</v>
      </c>
      <c r="V12">
        <f t="shared" si="1"/>
        <v>4</v>
      </c>
    </row>
    <row r="13" spans="1:22" x14ac:dyDescent="0.3">
      <c r="A13" s="2" t="s">
        <v>24</v>
      </c>
      <c r="B13">
        <f t="shared" ref="B13:V13" si="2">COUNTIF(B2:B7, "C")</f>
        <v>0</v>
      </c>
      <c r="C13">
        <f t="shared" si="2"/>
        <v>0</v>
      </c>
      <c r="D13">
        <f t="shared" si="2"/>
        <v>0</v>
      </c>
      <c r="E13">
        <f t="shared" si="2"/>
        <v>0</v>
      </c>
      <c r="F13">
        <f t="shared" si="2"/>
        <v>0</v>
      </c>
      <c r="G13">
        <f t="shared" si="2"/>
        <v>0</v>
      </c>
      <c r="H13">
        <f t="shared" si="2"/>
        <v>0</v>
      </c>
      <c r="I13">
        <f t="shared" si="2"/>
        <v>0</v>
      </c>
      <c r="J13">
        <f t="shared" si="2"/>
        <v>5</v>
      </c>
      <c r="K13">
        <f t="shared" si="2"/>
        <v>2</v>
      </c>
      <c r="L13">
        <f t="shared" si="2"/>
        <v>0</v>
      </c>
      <c r="M13">
        <f t="shared" si="2"/>
        <v>0</v>
      </c>
      <c r="N13">
        <f t="shared" si="2"/>
        <v>0</v>
      </c>
      <c r="O13">
        <f t="shared" si="2"/>
        <v>0</v>
      </c>
      <c r="P13">
        <f t="shared" si="2"/>
        <v>0</v>
      </c>
      <c r="Q13">
        <f t="shared" si="2"/>
        <v>0</v>
      </c>
      <c r="R13">
        <f t="shared" si="2"/>
        <v>4</v>
      </c>
      <c r="S13">
        <f t="shared" si="2"/>
        <v>0</v>
      </c>
      <c r="T13">
        <f t="shared" si="2"/>
        <v>0</v>
      </c>
      <c r="U13">
        <f t="shared" si="2"/>
        <v>0</v>
      </c>
      <c r="V13">
        <f t="shared" si="2"/>
        <v>0</v>
      </c>
    </row>
    <row r="14" spans="1:22" x14ac:dyDescent="0.3">
      <c r="A14" s="2" t="s">
        <v>25</v>
      </c>
      <c r="B14">
        <f t="shared" ref="B14:V14" si="3">COUNTIF(B2:B7, "D")</f>
        <v>0</v>
      </c>
      <c r="C14">
        <f t="shared" si="3"/>
        <v>0</v>
      </c>
      <c r="D14">
        <f t="shared" si="3"/>
        <v>0</v>
      </c>
      <c r="E14">
        <f t="shared" si="3"/>
        <v>0</v>
      </c>
      <c r="F14">
        <f t="shared" si="3"/>
        <v>0</v>
      </c>
      <c r="G14">
        <f t="shared" si="3"/>
        <v>0</v>
      </c>
      <c r="H14">
        <f t="shared" si="3"/>
        <v>0</v>
      </c>
      <c r="I14">
        <f t="shared" si="3"/>
        <v>0</v>
      </c>
      <c r="J14">
        <f t="shared" si="3"/>
        <v>0</v>
      </c>
      <c r="K14">
        <f t="shared" si="3"/>
        <v>0</v>
      </c>
      <c r="L14">
        <f t="shared" si="3"/>
        <v>0</v>
      </c>
      <c r="M14">
        <f t="shared" si="3"/>
        <v>0</v>
      </c>
      <c r="N14">
        <f t="shared" si="3"/>
        <v>0</v>
      </c>
      <c r="O14">
        <f t="shared" si="3"/>
        <v>0</v>
      </c>
      <c r="P14">
        <f t="shared" si="3"/>
        <v>0</v>
      </c>
      <c r="Q14">
        <f t="shared" si="3"/>
        <v>0</v>
      </c>
      <c r="R14">
        <f t="shared" si="3"/>
        <v>0</v>
      </c>
      <c r="S14">
        <f t="shared" si="3"/>
        <v>0</v>
      </c>
      <c r="T14">
        <f t="shared" si="3"/>
        <v>0</v>
      </c>
      <c r="U14">
        <f t="shared" si="3"/>
        <v>0</v>
      </c>
      <c r="V14">
        <f t="shared" si="3"/>
        <v>0</v>
      </c>
    </row>
    <row r="17" spans="1:23" x14ac:dyDescent="0.3">
      <c r="A17" s="2" t="s">
        <v>26</v>
      </c>
      <c r="B17" s="3">
        <f t="shared" ref="B17:V17" si="4">IFERROR((B11 + B13) / (B11 + B12 + B13 + B14), 0)</f>
        <v>0.33333333333333331</v>
      </c>
      <c r="C17" s="3">
        <f t="shared" si="4"/>
        <v>0</v>
      </c>
      <c r="D17" s="3">
        <f t="shared" si="4"/>
        <v>0.66666666666666663</v>
      </c>
      <c r="E17" s="3">
        <f t="shared" si="4"/>
        <v>0.5</v>
      </c>
      <c r="F17" s="3">
        <f t="shared" si="4"/>
        <v>0</v>
      </c>
      <c r="G17" s="3">
        <f t="shared" si="4"/>
        <v>0.33333333333333331</v>
      </c>
      <c r="H17" s="3">
        <f t="shared" si="4"/>
        <v>0</v>
      </c>
      <c r="I17" s="3">
        <f t="shared" si="4"/>
        <v>0</v>
      </c>
      <c r="J17" s="3">
        <f t="shared" si="4"/>
        <v>1</v>
      </c>
      <c r="K17" s="3">
        <f t="shared" si="4"/>
        <v>0.33333333333333331</v>
      </c>
      <c r="L17" s="3">
        <f t="shared" si="4"/>
        <v>0.33333333333333331</v>
      </c>
      <c r="M17" s="3">
        <f t="shared" si="4"/>
        <v>0</v>
      </c>
      <c r="N17" s="3">
        <f t="shared" si="4"/>
        <v>0.66666666666666663</v>
      </c>
      <c r="O17" s="3">
        <f t="shared" si="4"/>
        <v>0.83333333333333337</v>
      </c>
      <c r="P17" s="3">
        <f t="shared" si="4"/>
        <v>0</v>
      </c>
      <c r="Q17" s="3">
        <f t="shared" si="4"/>
        <v>0.16666666666666666</v>
      </c>
      <c r="R17" s="3">
        <f t="shared" si="4"/>
        <v>0.66666666666666663</v>
      </c>
      <c r="S17" s="3">
        <f t="shared" si="4"/>
        <v>0.16666666666666666</v>
      </c>
      <c r="T17" s="3">
        <f t="shared" si="4"/>
        <v>0</v>
      </c>
      <c r="U17" s="3">
        <f t="shared" si="4"/>
        <v>0.5</v>
      </c>
      <c r="V17" s="3">
        <f t="shared" si="4"/>
        <v>0.33333333333333331</v>
      </c>
      <c r="W17" s="3">
        <f>AVERAGE(B17:V17)</f>
        <v>0.32539682539682541</v>
      </c>
    </row>
    <row r="18" spans="1:23" x14ac:dyDescent="0.3">
      <c r="A18" s="2" t="s">
        <v>27</v>
      </c>
      <c r="B18" s="3">
        <f t="shared" ref="B18:V18" si="5">IFERROR((B11) / (B11 + B12), 0)</f>
        <v>0.33333333333333331</v>
      </c>
      <c r="C18" s="3">
        <f t="shared" si="5"/>
        <v>0</v>
      </c>
      <c r="D18" s="3">
        <f t="shared" si="5"/>
        <v>0.66666666666666663</v>
      </c>
      <c r="E18" s="3">
        <f t="shared" si="5"/>
        <v>0.5</v>
      </c>
      <c r="F18" s="3">
        <f t="shared" si="5"/>
        <v>0</v>
      </c>
      <c r="G18" s="3">
        <f t="shared" si="5"/>
        <v>0.33333333333333331</v>
      </c>
      <c r="H18" s="3">
        <f t="shared" si="5"/>
        <v>0</v>
      </c>
      <c r="I18" s="3">
        <f t="shared" si="5"/>
        <v>0</v>
      </c>
      <c r="J18" s="3">
        <f t="shared" si="5"/>
        <v>1</v>
      </c>
      <c r="K18" s="3">
        <f t="shared" si="5"/>
        <v>0</v>
      </c>
      <c r="L18" s="3">
        <f t="shared" si="5"/>
        <v>0.33333333333333331</v>
      </c>
      <c r="M18" s="3">
        <f t="shared" si="5"/>
        <v>0</v>
      </c>
      <c r="N18" s="3">
        <f t="shared" si="5"/>
        <v>0.66666666666666663</v>
      </c>
      <c r="O18" s="3">
        <f t="shared" si="5"/>
        <v>0.83333333333333337</v>
      </c>
      <c r="P18" s="3">
        <f t="shared" si="5"/>
        <v>0</v>
      </c>
      <c r="Q18" s="3">
        <f t="shared" si="5"/>
        <v>0.16666666666666666</v>
      </c>
      <c r="R18" s="3">
        <f t="shared" si="5"/>
        <v>0</v>
      </c>
      <c r="S18" s="3">
        <f t="shared" si="5"/>
        <v>0.16666666666666666</v>
      </c>
      <c r="T18" s="3">
        <f t="shared" si="5"/>
        <v>0</v>
      </c>
      <c r="U18" s="3">
        <f t="shared" si="5"/>
        <v>0.5</v>
      </c>
      <c r="V18" s="3">
        <f t="shared" si="5"/>
        <v>0.33333333333333331</v>
      </c>
      <c r="W18" s="3">
        <f>AVERAGE(B18:V18)</f>
        <v>0.27777777777777779</v>
      </c>
    </row>
    <row r="19" spans="1:23" x14ac:dyDescent="0.3">
      <c r="A19" s="2" t="s">
        <v>28</v>
      </c>
      <c r="B19" s="3">
        <f t="shared" ref="B19:V19" si="6">IFERROR((B11) / (B11 + B14), 0)</f>
        <v>1</v>
      </c>
      <c r="C19" s="3">
        <f t="shared" si="6"/>
        <v>0</v>
      </c>
      <c r="D19" s="3">
        <f t="shared" si="6"/>
        <v>1</v>
      </c>
      <c r="E19" s="3">
        <f t="shared" si="6"/>
        <v>1</v>
      </c>
      <c r="F19" s="3">
        <f t="shared" si="6"/>
        <v>0</v>
      </c>
      <c r="G19" s="3">
        <f t="shared" si="6"/>
        <v>1</v>
      </c>
      <c r="H19" s="3">
        <f t="shared" si="6"/>
        <v>0</v>
      </c>
      <c r="I19" s="3">
        <f t="shared" si="6"/>
        <v>0</v>
      </c>
      <c r="J19" s="3">
        <f t="shared" si="6"/>
        <v>1</v>
      </c>
      <c r="K19" s="3">
        <f t="shared" si="6"/>
        <v>0</v>
      </c>
      <c r="L19" s="3">
        <f t="shared" si="6"/>
        <v>1</v>
      </c>
      <c r="M19" s="3">
        <f t="shared" si="6"/>
        <v>0</v>
      </c>
      <c r="N19" s="3">
        <f t="shared" si="6"/>
        <v>1</v>
      </c>
      <c r="O19" s="3">
        <f t="shared" si="6"/>
        <v>1</v>
      </c>
      <c r="P19" s="3">
        <f t="shared" si="6"/>
        <v>0</v>
      </c>
      <c r="Q19" s="3">
        <f t="shared" si="6"/>
        <v>1</v>
      </c>
      <c r="R19" s="3">
        <f t="shared" si="6"/>
        <v>0</v>
      </c>
      <c r="S19" s="3">
        <f t="shared" si="6"/>
        <v>1</v>
      </c>
      <c r="T19" s="3">
        <f t="shared" si="6"/>
        <v>0</v>
      </c>
      <c r="U19" s="3">
        <f t="shared" si="6"/>
        <v>1</v>
      </c>
      <c r="V19" s="3">
        <f t="shared" si="6"/>
        <v>1</v>
      </c>
      <c r="W19" s="3">
        <f>AVERAGE(B19:V19)</f>
        <v>0.5714285714285714</v>
      </c>
    </row>
    <row r="20" spans="1:23" x14ac:dyDescent="0.3">
      <c r="A20" s="2" t="s">
        <v>29</v>
      </c>
      <c r="B20" s="3">
        <f t="shared" ref="B20:V20" si="7">IFERROR(2 * (B18 * B19) / (B18 + B19), 0)</f>
        <v>0.5</v>
      </c>
      <c r="C20" s="3">
        <f t="shared" si="7"/>
        <v>0</v>
      </c>
      <c r="D20" s="3">
        <f t="shared" si="7"/>
        <v>0.8</v>
      </c>
      <c r="E20" s="3">
        <f t="shared" si="7"/>
        <v>0.66666666666666663</v>
      </c>
      <c r="F20" s="3">
        <f t="shared" si="7"/>
        <v>0</v>
      </c>
      <c r="G20" s="3">
        <f t="shared" si="7"/>
        <v>0.5</v>
      </c>
      <c r="H20" s="3">
        <f t="shared" si="7"/>
        <v>0</v>
      </c>
      <c r="I20" s="3">
        <f t="shared" si="7"/>
        <v>0</v>
      </c>
      <c r="J20" s="3">
        <f t="shared" si="7"/>
        <v>1</v>
      </c>
      <c r="K20" s="3">
        <f t="shared" si="7"/>
        <v>0</v>
      </c>
      <c r="L20" s="3">
        <f t="shared" si="7"/>
        <v>0.5</v>
      </c>
      <c r="M20" s="3">
        <f t="shared" si="7"/>
        <v>0</v>
      </c>
      <c r="N20" s="3">
        <f t="shared" si="7"/>
        <v>0.8</v>
      </c>
      <c r="O20" s="3">
        <f t="shared" si="7"/>
        <v>0.90909090909090906</v>
      </c>
      <c r="P20" s="3">
        <f t="shared" si="7"/>
        <v>0</v>
      </c>
      <c r="Q20" s="3">
        <f t="shared" si="7"/>
        <v>0.2857142857142857</v>
      </c>
      <c r="R20" s="3">
        <f t="shared" si="7"/>
        <v>0</v>
      </c>
      <c r="S20" s="3">
        <f t="shared" si="7"/>
        <v>0.2857142857142857</v>
      </c>
      <c r="T20" s="3">
        <f t="shared" si="7"/>
        <v>0</v>
      </c>
      <c r="U20" s="3">
        <f t="shared" si="7"/>
        <v>0.66666666666666663</v>
      </c>
      <c r="V20" s="3">
        <f t="shared" si="7"/>
        <v>0.5</v>
      </c>
      <c r="W20" s="3">
        <f>AVERAGE(B20:V20)</f>
        <v>0.35304061018346733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B8865-83C8-4E19-B5F5-86984761D8FA}">
  <dimension ref="A1:W20"/>
  <sheetViews>
    <sheetView tabSelected="1" topLeftCell="M1" workbookViewId="0">
      <selection activeCell="V12" sqref="V12"/>
    </sheetView>
  </sheetViews>
  <sheetFormatPr baseColWidth="10" defaultColWidth="8.88671875" defaultRowHeight="14.4" x14ac:dyDescent="0.3"/>
  <cols>
    <col min="1" max="1" width="14.77734375" customWidth="1"/>
  </cols>
  <sheetData>
    <row r="1" spans="1:22" x14ac:dyDescent="0.3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3">
      <c r="A2" s="2">
        <v>1</v>
      </c>
      <c r="B2" t="s">
        <v>30</v>
      </c>
      <c r="C2" t="s">
        <v>30</v>
      </c>
      <c r="D2" t="s">
        <v>31</v>
      </c>
      <c r="E2" t="s">
        <v>30</v>
      </c>
      <c r="F2" t="s">
        <v>30</v>
      </c>
      <c r="G2" t="s">
        <v>30</v>
      </c>
      <c r="H2" t="s">
        <v>30</v>
      </c>
      <c r="I2" t="s">
        <v>30</v>
      </c>
      <c r="J2" t="s">
        <v>30</v>
      </c>
      <c r="K2" t="s">
        <v>30</v>
      </c>
      <c r="L2" t="s">
        <v>30</v>
      </c>
      <c r="M2" t="s">
        <v>30</v>
      </c>
      <c r="N2" t="s">
        <v>30</v>
      </c>
      <c r="O2" t="s">
        <v>30</v>
      </c>
      <c r="P2" t="s">
        <v>30</v>
      </c>
      <c r="Q2" t="s">
        <v>30</v>
      </c>
      <c r="R2" t="s">
        <v>30</v>
      </c>
      <c r="S2" t="s">
        <v>30</v>
      </c>
      <c r="T2" t="s">
        <v>30</v>
      </c>
      <c r="U2" t="s">
        <v>31</v>
      </c>
      <c r="V2" t="s">
        <v>30</v>
      </c>
    </row>
    <row r="3" spans="1:22" x14ac:dyDescent="0.3">
      <c r="A3" s="2">
        <v>2</v>
      </c>
      <c r="B3" t="s">
        <v>30</v>
      </c>
      <c r="C3" t="s">
        <v>30</v>
      </c>
      <c r="D3" t="s">
        <v>30</v>
      </c>
      <c r="E3" t="s">
        <v>30</v>
      </c>
      <c r="F3" t="s">
        <v>30</v>
      </c>
      <c r="G3" t="s">
        <v>30</v>
      </c>
      <c r="H3" t="s">
        <v>30</v>
      </c>
      <c r="I3" t="s">
        <v>30</v>
      </c>
      <c r="J3" t="s">
        <v>30</v>
      </c>
      <c r="K3" t="s">
        <v>30</v>
      </c>
      <c r="L3" t="s">
        <v>30</v>
      </c>
      <c r="M3" t="s">
        <v>30</v>
      </c>
      <c r="N3" t="s">
        <v>30</v>
      </c>
      <c r="O3" t="s">
        <v>30</v>
      </c>
      <c r="P3" t="s">
        <v>30</v>
      </c>
      <c r="Q3" t="s">
        <v>30</v>
      </c>
      <c r="R3" t="s">
        <v>30</v>
      </c>
      <c r="S3" t="s">
        <v>30</v>
      </c>
      <c r="T3" t="s">
        <v>30</v>
      </c>
      <c r="U3" t="s">
        <v>30</v>
      </c>
      <c r="V3" t="s">
        <v>30</v>
      </c>
    </row>
    <row r="4" spans="1:22" x14ac:dyDescent="0.3">
      <c r="A4" s="2">
        <v>3</v>
      </c>
      <c r="B4" t="s">
        <v>30</v>
      </c>
      <c r="C4" t="s">
        <v>30</v>
      </c>
      <c r="D4" t="s">
        <v>30</v>
      </c>
      <c r="E4" t="s">
        <v>30</v>
      </c>
      <c r="F4" t="s">
        <v>30</v>
      </c>
      <c r="G4" t="s">
        <v>30</v>
      </c>
      <c r="H4" t="s">
        <v>30</v>
      </c>
      <c r="I4" t="s">
        <v>30</v>
      </c>
      <c r="J4" t="s">
        <v>30</v>
      </c>
      <c r="K4" t="s">
        <v>30</v>
      </c>
      <c r="L4" t="s">
        <v>31</v>
      </c>
      <c r="M4" t="s">
        <v>30</v>
      </c>
      <c r="N4" t="s">
        <v>30</v>
      </c>
      <c r="O4" t="s">
        <v>30</v>
      </c>
      <c r="P4" t="s">
        <v>30</v>
      </c>
      <c r="Q4" t="s">
        <v>30</v>
      </c>
      <c r="R4" t="s">
        <v>30</v>
      </c>
      <c r="S4" t="s">
        <v>30</v>
      </c>
      <c r="T4" t="s">
        <v>30</v>
      </c>
      <c r="U4" t="s">
        <v>31</v>
      </c>
      <c r="V4" t="s">
        <v>30</v>
      </c>
    </row>
    <row r="5" spans="1:22" x14ac:dyDescent="0.3">
      <c r="A5" s="2">
        <v>4</v>
      </c>
      <c r="B5" t="s">
        <v>30</v>
      </c>
      <c r="C5" t="s">
        <v>30</v>
      </c>
      <c r="D5" t="s">
        <v>30</v>
      </c>
      <c r="E5" t="s">
        <v>30</v>
      </c>
      <c r="F5" t="s">
        <v>30</v>
      </c>
      <c r="G5" t="s">
        <v>30</v>
      </c>
      <c r="H5" t="s">
        <v>30</v>
      </c>
      <c r="I5" t="s">
        <v>30</v>
      </c>
      <c r="J5" t="s">
        <v>30</v>
      </c>
      <c r="K5" t="s">
        <v>30</v>
      </c>
      <c r="L5" t="s">
        <v>31</v>
      </c>
      <c r="M5" t="s">
        <v>30</v>
      </c>
      <c r="N5" t="s">
        <v>30</v>
      </c>
      <c r="O5" t="s">
        <v>30</v>
      </c>
      <c r="P5" t="s">
        <v>30</v>
      </c>
      <c r="Q5" t="s">
        <v>30</v>
      </c>
      <c r="R5" t="s">
        <v>30</v>
      </c>
      <c r="S5" s="5" t="s">
        <v>30</v>
      </c>
      <c r="T5" s="5" t="s">
        <v>30</v>
      </c>
      <c r="U5" s="5" t="s">
        <v>31</v>
      </c>
      <c r="V5" s="5" t="s">
        <v>30</v>
      </c>
    </row>
    <row r="6" spans="1:22" x14ac:dyDescent="0.3">
      <c r="A6" s="2">
        <v>5</v>
      </c>
      <c r="B6" t="s">
        <v>30</v>
      </c>
      <c r="C6" t="s">
        <v>30</v>
      </c>
      <c r="D6" t="s">
        <v>31</v>
      </c>
      <c r="E6" t="s">
        <v>30</v>
      </c>
      <c r="F6" t="s">
        <v>30</v>
      </c>
      <c r="G6" t="s">
        <v>30</v>
      </c>
      <c r="H6" t="s">
        <v>30</v>
      </c>
      <c r="I6" t="s">
        <v>30</v>
      </c>
      <c r="J6" t="s">
        <v>30</v>
      </c>
      <c r="K6" t="s">
        <v>30</v>
      </c>
      <c r="L6" t="s">
        <v>30</v>
      </c>
      <c r="M6" t="s">
        <v>31</v>
      </c>
      <c r="N6" t="s">
        <v>30</v>
      </c>
      <c r="O6" t="s">
        <v>30</v>
      </c>
      <c r="P6" t="s">
        <v>30</v>
      </c>
      <c r="Q6" t="s">
        <v>30</v>
      </c>
      <c r="R6" t="s">
        <v>30</v>
      </c>
      <c r="S6" t="s">
        <v>30</v>
      </c>
      <c r="T6" s="5" t="s">
        <v>30</v>
      </c>
      <c r="U6" s="6" t="s">
        <v>31</v>
      </c>
      <c r="V6" s="6" t="s">
        <v>30</v>
      </c>
    </row>
    <row r="7" spans="1:22" x14ac:dyDescent="0.3">
      <c r="A7" s="2">
        <v>6</v>
      </c>
      <c r="B7" t="s">
        <v>30</v>
      </c>
      <c r="C7" t="s">
        <v>30</v>
      </c>
      <c r="D7" t="s">
        <v>30</v>
      </c>
      <c r="E7" t="s">
        <v>30</v>
      </c>
      <c r="F7" t="s">
        <v>30</v>
      </c>
      <c r="G7" t="s">
        <v>30</v>
      </c>
      <c r="H7" t="s">
        <v>30</v>
      </c>
      <c r="I7" t="s">
        <v>30</v>
      </c>
      <c r="J7" t="s">
        <v>30</v>
      </c>
      <c r="K7" t="s">
        <v>30</v>
      </c>
      <c r="L7" t="s">
        <v>30</v>
      </c>
      <c r="M7" t="s">
        <v>30</v>
      </c>
      <c r="N7" t="s">
        <v>31</v>
      </c>
      <c r="O7" t="s">
        <v>30</v>
      </c>
      <c r="P7" t="s">
        <v>30</v>
      </c>
      <c r="Q7" t="s">
        <v>30</v>
      </c>
      <c r="R7" t="s">
        <v>30</v>
      </c>
      <c r="S7" t="s">
        <v>30</v>
      </c>
      <c r="T7" t="s">
        <v>30</v>
      </c>
      <c r="U7" s="6" t="s">
        <v>31</v>
      </c>
      <c r="V7" s="6" t="s">
        <v>30</v>
      </c>
    </row>
    <row r="11" spans="1:22" x14ac:dyDescent="0.3">
      <c r="A11" s="2" t="s">
        <v>22</v>
      </c>
      <c r="B11">
        <f t="shared" ref="B11" si="0">COUNTIF(B2:B7, "A")</f>
        <v>0</v>
      </c>
      <c r="C11">
        <f>COUNTIF(C2:C7, "A")</f>
        <v>0</v>
      </c>
      <c r="D11">
        <f>COUNTIF(D2:D7, "A")</f>
        <v>2</v>
      </c>
      <c r="E11">
        <f t="shared" ref="E11:V11" si="1">COUNTIF(E2:E7, "A")</f>
        <v>0</v>
      </c>
      <c r="F11">
        <f t="shared" si="1"/>
        <v>0</v>
      </c>
      <c r="G11">
        <f t="shared" si="1"/>
        <v>0</v>
      </c>
      <c r="H11">
        <f t="shared" si="1"/>
        <v>0</v>
      </c>
      <c r="I11">
        <f t="shared" si="1"/>
        <v>0</v>
      </c>
      <c r="J11">
        <f t="shared" si="1"/>
        <v>0</v>
      </c>
      <c r="K11">
        <f t="shared" si="1"/>
        <v>0</v>
      </c>
      <c r="L11">
        <f t="shared" si="1"/>
        <v>2</v>
      </c>
      <c r="M11">
        <f t="shared" si="1"/>
        <v>1</v>
      </c>
      <c r="N11">
        <f t="shared" si="1"/>
        <v>1</v>
      </c>
      <c r="O11">
        <f t="shared" si="1"/>
        <v>0</v>
      </c>
      <c r="P11">
        <f t="shared" si="1"/>
        <v>0</v>
      </c>
      <c r="Q11">
        <f t="shared" si="1"/>
        <v>0</v>
      </c>
      <c r="R11">
        <f t="shared" si="1"/>
        <v>0</v>
      </c>
      <c r="S11">
        <f>COUNTIF(S2:S7, "A")</f>
        <v>0</v>
      </c>
      <c r="T11">
        <f>COUNTIF(T2:T7, "A")</f>
        <v>0</v>
      </c>
      <c r="U11">
        <f>COUNTIF(U2:U7, "A")</f>
        <v>5</v>
      </c>
      <c r="V11">
        <f t="shared" si="1"/>
        <v>0</v>
      </c>
    </row>
    <row r="12" spans="1:22" x14ac:dyDescent="0.3">
      <c r="A12" s="2" t="s">
        <v>23</v>
      </c>
      <c r="B12">
        <f t="shared" ref="B12:V12" si="2">COUNTIF(B2:B7, "B")</f>
        <v>6</v>
      </c>
      <c r="C12">
        <f t="shared" si="2"/>
        <v>6</v>
      </c>
      <c r="D12">
        <f t="shared" si="2"/>
        <v>4</v>
      </c>
      <c r="E12">
        <f t="shared" si="2"/>
        <v>6</v>
      </c>
      <c r="F12">
        <f t="shared" si="2"/>
        <v>6</v>
      </c>
      <c r="G12">
        <f t="shared" si="2"/>
        <v>6</v>
      </c>
      <c r="H12">
        <f t="shared" si="2"/>
        <v>6</v>
      </c>
      <c r="I12">
        <f t="shared" si="2"/>
        <v>6</v>
      </c>
      <c r="J12">
        <f t="shared" si="2"/>
        <v>6</v>
      </c>
      <c r="K12">
        <f t="shared" si="2"/>
        <v>6</v>
      </c>
      <c r="L12">
        <f t="shared" si="2"/>
        <v>4</v>
      </c>
      <c r="M12">
        <f t="shared" si="2"/>
        <v>5</v>
      </c>
      <c r="N12">
        <f t="shared" si="2"/>
        <v>5</v>
      </c>
      <c r="O12">
        <f t="shared" si="2"/>
        <v>6</v>
      </c>
      <c r="P12">
        <f t="shared" si="2"/>
        <v>6</v>
      </c>
      <c r="Q12">
        <f t="shared" si="2"/>
        <v>6</v>
      </c>
      <c r="R12">
        <f t="shared" si="2"/>
        <v>6</v>
      </c>
      <c r="S12">
        <f>COUNTIF(S2:S7, "B")</f>
        <v>6</v>
      </c>
      <c r="T12">
        <f>COUNTIF(T2:T7, "B")</f>
        <v>6</v>
      </c>
      <c r="U12">
        <f>COUNTIF(U2:U7, "B")</f>
        <v>1</v>
      </c>
      <c r="V12">
        <f t="shared" si="2"/>
        <v>6</v>
      </c>
    </row>
    <row r="13" spans="1:22" x14ac:dyDescent="0.3">
      <c r="A13" s="2" t="s">
        <v>24</v>
      </c>
      <c r="B13">
        <f t="shared" ref="B13:V13" si="3">COUNTIF(B2:B7, "C")</f>
        <v>0</v>
      </c>
      <c r="C13">
        <f t="shared" si="3"/>
        <v>0</v>
      </c>
      <c r="D13">
        <f t="shared" si="3"/>
        <v>0</v>
      </c>
      <c r="E13">
        <f t="shared" si="3"/>
        <v>0</v>
      </c>
      <c r="F13">
        <f t="shared" si="3"/>
        <v>0</v>
      </c>
      <c r="G13">
        <f t="shared" si="3"/>
        <v>0</v>
      </c>
      <c r="H13">
        <f t="shared" si="3"/>
        <v>0</v>
      </c>
      <c r="I13">
        <f t="shared" si="3"/>
        <v>0</v>
      </c>
      <c r="J13">
        <f t="shared" si="3"/>
        <v>0</v>
      </c>
      <c r="K13">
        <f t="shared" si="3"/>
        <v>0</v>
      </c>
      <c r="L13">
        <f t="shared" si="3"/>
        <v>0</v>
      </c>
      <c r="M13">
        <f t="shared" si="3"/>
        <v>0</v>
      </c>
      <c r="N13">
        <f t="shared" si="3"/>
        <v>0</v>
      </c>
      <c r="O13">
        <f t="shared" si="3"/>
        <v>0</v>
      </c>
      <c r="P13">
        <f t="shared" si="3"/>
        <v>0</v>
      </c>
      <c r="Q13">
        <f t="shared" si="3"/>
        <v>0</v>
      </c>
      <c r="R13">
        <f t="shared" si="3"/>
        <v>0</v>
      </c>
      <c r="S13">
        <f>COUNTIF(S2:S7, "C")</f>
        <v>0</v>
      </c>
      <c r="T13">
        <f>COUNTIF(T2:T7, "C")</f>
        <v>0</v>
      </c>
      <c r="U13">
        <f>COUNTIF(U2:U7, "C")</f>
        <v>0</v>
      </c>
      <c r="V13">
        <f t="shared" si="3"/>
        <v>0</v>
      </c>
    </row>
    <row r="14" spans="1:22" x14ac:dyDescent="0.3">
      <c r="A14" s="2" t="s">
        <v>25</v>
      </c>
      <c r="B14">
        <f t="shared" ref="B14:V14" si="4">COUNTIF(B2:B7, "D")</f>
        <v>0</v>
      </c>
      <c r="C14">
        <f t="shared" si="4"/>
        <v>0</v>
      </c>
      <c r="D14">
        <f t="shared" si="4"/>
        <v>0</v>
      </c>
      <c r="E14">
        <f t="shared" si="4"/>
        <v>0</v>
      </c>
      <c r="F14">
        <f t="shared" si="4"/>
        <v>0</v>
      </c>
      <c r="G14">
        <f t="shared" si="4"/>
        <v>0</v>
      </c>
      <c r="H14">
        <f t="shared" si="4"/>
        <v>0</v>
      </c>
      <c r="I14">
        <f t="shared" si="4"/>
        <v>0</v>
      </c>
      <c r="J14">
        <f t="shared" si="4"/>
        <v>0</v>
      </c>
      <c r="K14">
        <f t="shared" si="4"/>
        <v>0</v>
      </c>
      <c r="L14">
        <f t="shared" si="4"/>
        <v>0</v>
      </c>
      <c r="M14">
        <f t="shared" si="4"/>
        <v>0</v>
      </c>
      <c r="N14">
        <f t="shared" si="4"/>
        <v>0</v>
      </c>
      <c r="O14">
        <f t="shared" si="4"/>
        <v>0</v>
      </c>
      <c r="P14">
        <f t="shared" si="4"/>
        <v>0</v>
      </c>
      <c r="Q14">
        <f t="shared" si="4"/>
        <v>0</v>
      </c>
      <c r="R14">
        <f t="shared" si="4"/>
        <v>0</v>
      </c>
      <c r="S14">
        <f>COUNTIF(S2:S7, "D")</f>
        <v>0</v>
      </c>
      <c r="T14">
        <f>COUNTIF(T2:T7, "D")</f>
        <v>0</v>
      </c>
      <c r="U14">
        <f>COUNTIF(U2:U7, "D")</f>
        <v>0</v>
      </c>
      <c r="V14">
        <f t="shared" si="4"/>
        <v>0</v>
      </c>
    </row>
    <row r="17" spans="1:23" x14ac:dyDescent="0.3">
      <c r="A17" s="2" t="s">
        <v>26</v>
      </c>
      <c r="B17" s="3">
        <f t="shared" ref="B17:V17" si="5">IFERROR((B11 + B13) / (B11 + B12 + B13 + B14), 0)</f>
        <v>0</v>
      </c>
      <c r="C17" s="3">
        <f t="shared" si="5"/>
        <v>0</v>
      </c>
      <c r="D17" s="3">
        <f t="shared" si="5"/>
        <v>0.33333333333333331</v>
      </c>
      <c r="E17" s="3">
        <f t="shared" si="5"/>
        <v>0</v>
      </c>
      <c r="F17" s="3">
        <f t="shared" si="5"/>
        <v>0</v>
      </c>
      <c r="G17" s="3">
        <f t="shared" si="5"/>
        <v>0</v>
      </c>
      <c r="H17" s="3">
        <f t="shared" si="5"/>
        <v>0</v>
      </c>
      <c r="I17" s="3">
        <f t="shared" si="5"/>
        <v>0</v>
      </c>
      <c r="J17" s="3">
        <f t="shared" si="5"/>
        <v>0</v>
      </c>
      <c r="K17" s="3">
        <f t="shared" si="5"/>
        <v>0</v>
      </c>
      <c r="L17" s="3">
        <f t="shared" si="5"/>
        <v>0.33333333333333331</v>
      </c>
      <c r="M17" s="3">
        <f t="shared" si="5"/>
        <v>0.16666666666666666</v>
      </c>
      <c r="N17" s="3">
        <f t="shared" si="5"/>
        <v>0.16666666666666666</v>
      </c>
      <c r="O17" s="3">
        <f t="shared" si="5"/>
        <v>0</v>
      </c>
      <c r="P17" s="3">
        <f t="shared" si="5"/>
        <v>0</v>
      </c>
      <c r="Q17" s="3">
        <f t="shared" si="5"/>
        <v>0</v>
      </c>
      <c r="R17" s="3">
        <f t="shared" si="5"/>
        <v>0</v>
      </c>
      <c r="S17" s="3">
        <f t="shared" si="5"/>
        <v>0</v>
      </c>
      <c r="T17" s="3">
        <f t="shared" si="5"/>
        <v>0</v>
      </c>
      <c r="U17" s="3">
        <f t="shared" si="5"/>
        <v>0.83333333333333337</v>
      </c>
      <c r="V17" s="3">
        <f t="shared" si="5"/>
        <v>0</v>
      </c>
      <c r="W17" s="3">
        <f>AVERAGE(B17:V17)</f>
        <v>8.7301587301587297E-2</v>
      </c>
    </row>
    <row r="18" spans="1:23" x14ac:dyDescent="0.3">
      <c r="A18" s="2" t="s">
        <v>27</v>
      </c>
      <c r="B18" s="3">
        <f t="shared" ref="B18:V18" si="6">IFERROR((B11) / (B11 + B12), 0)</f>
        <v>0</v>
      </c>
      <c r="C18" s="3">
        <f t="shared" si="6"/>
        <v>0</v>
      </c>
      <c r="D18" s="3">
        <f t="shared" si="6"/>
        <v>0.33333333333333331</v>
      </c>
      <c r="E18" s="3">
        <f t="shared" si="6"/>
        <v>0</v>
      </c>
      <c r="F18" s="3">
        <f t="shared" si="6"/>
        <v>0</v>
      </c>
      <c r="G18" s="3">
        <f t="shared" si="6"/>
        <v>0</v>
      </c>
      <c r="H18" s="3">
        <f t="shared" si="6"/>
        <v>0</v>
      </c>
      <c r="I18" s="3">
        <f t="shared" si="6"/>
        <v>0</v>
      </c>
      <c r="J18" s="3">
        <f t="shared" si="6"/>
        <v>0</v>
      </c>
      <c r="K18" s="3">
        <f t="shared" si="6"/>
        <v>0</v>
      </c>
      <c r="L18" s="3">
        <f t="shared" si="6"/>
        <v>0.33333333333333331</v>
      </c>
      <c r="M18" s="3">
        <f t="shared" si="6"/>
        <v>0.16666666666666666</v>
      </c>
      <c r="N18" s="3">
        <f t="shared" si="6"/>
        <v>0.16666666666666666</v>
      </c>
      <c r="O18" s="3">
        <f t="shared" si="6"/>
        <v>0</v>
      </c>
      <c r="P18" s="3">
        <f t="shared" si="6"/>
        <v>0</v>
      </c>
      <c r="Q18" s="3">
        <f t="shared" si="6"/>
        <v>0</v>
      </c>
      <c r="R18" s="3">
        <f t="shared" si="6"/>
        <v>0</v>
      </c>
      <c r="S18" s="3">
        <f t="shared" si="6"/>
        <v>0</v>
      </c>
      <c r="T18" s="3">
        <f t="shared" si="6"/>
        <v>0</v>
      </c>
      <c r="U18" s="3">
        <f t="shared" si="6"/>
        <v>0.83333333333333337</v>
      </c>
      <c r="V18" s="3">
        <f t="shared" si="6"/>
        <v>0</v>
      </c>
      <c r="W18" s="3">
        <f>AVERAGE(B18:V18)</f>
        <v>8.7301587301587297E-2</v>
      </c>
    </row>
    <row r="19" spans="1:23" x14ac:dyDescent="0.3">
      <c r="A19" s="2" t="s">
        <v>28</v>
      </c>
      <c r="B19" s="3">
        <f t="shared" ref="B19:V19" si="7">IFERROR((B11) / (B11 + B14), 0)</f>
        <v>0</v>
      </c>
      <c r="C19" s="3">
        <f t="shared" si="7"/>
        <v>0</v>
      </c>
      <c r="D19" s="3">
        <f t="shared" si="7"/>
        <v>1</v>
      </c>
      <c r="E19" s="3">
        <f t="shared" si="7"/>
        <v>0</v>
      </c>
      <c r="F19" s="3">
        <f t="shared" si="7"/>
        <v>0</v>
      </c>
      <c r="G19" s="3">
        <f t="shared" si="7"/>
        <v>0</v>
      </c>
      <c r="H19" s="3">
        <f t="shared" si="7"/>
        <v>0</v>
      </c>
      <c r="I19" s="3">
        <f t="shared" si="7"/>
        <v>0</v>
      </c>
      <c r="J19" s="3">
        <f t="shared" si="7"/>
        <v>0</v>
      </c>
      <c r="K19" s="3">
        <f t="shared" si="7"/>
        <v>0</v>
      </c>
      <c r="L19" s="3">
        <f t="shared" si="7"/>
        <v>1</v>
      </c>
      <c r="M19" s="3">
        <f t="shared" si="7"/>
        <v>1</v>
      </c>
      <c r="N19" s="3">
        <f t="shared" si="7"/>
        <v>1</v>
      </c>
      <c r="O19" s="3">
        <f t="shared" si="7"/>
        <v>0</v>
      </c>
      <c r="P19" s="3">
        <f t="shared" si="7"/>
        <v>0</v>
      </c>
      <c r="Q19" s="3">
        <f t="shared" si="7"/>
        <v>0</v>
      </c>
      <c r="R19" s="3">
        <f t="shared" si="7"/>
        <v>0</v>
      </c>
      <c r="S19" s="3">
        <f t="shared" si="7"/>
        <v>0</v>
      </c>
      <c r="T19" s="3">
        <f t="shared" si="7"/>
        <v>0</v>
      </c>
      <c r="U19" s="3">
        <f t="shared" si="7"/>
        <v>1</v>
      </c>
      <c r="V19" s="3">
        <f t="shared" si="7"/>
        <v>0</v>
      </c>
      <c r="W19" s="3">
        <f>AVERAGE(B19:V19)</f>
        <v>0.23809523809523808</v>
      </c>
    </row>
    <row r="20" spans="1:23" x14ac:dyDescent="0.3">
      <c r="A20" s="2" t="s">
        <v>29</v>
      </c>
      <c r="B20" s="3">
        <f t="shared" ref="B20:V20" si="8">IFERROR(2 * (B18 * B19) / (B18 + B19), 0)</f>
        <v>0</v>
      </c>
      <c r="C20" s="3">
        <f t="shared" si="8"/>
        <v>0</v>
      </c>
      <c r="D20" s="3">
        <f t="shared" si="8"/>
        <v>0.5</v>
      </c>
      <c r="E20" s="3">
        <f t="shared" si="8"/>
        <v>0</v>
      </c>
      <c r="F20" s="3">
        <f t="shared" si="8"/>
        <v>0</v>
      </c>
      <c r="G20" s="3">
        <f t="shared" si="8"/>
        <v>0</v>
      </c>
      <c r="H20" s="3">
        <f t="shared" si="8"/>
        <v>0</v>
      </c>
      <c r="I20" s="3">
        <f t="shared" si="8"/>
        <v>0</v>
      </c>
      <c r="J20" s="3">
        <f t="shared" si="8"/>
        <v>0</v>
      </c>
      <c r="K20" s="3">
        <f t="shared" si="8"/>
        <v>0</v>
      </c>
      <c r="L20" s="3">
        <f t="shared" si="8"/>
        <v>0.5</v>
      </c>
      <c r="M20" s="3">
        <f t="shared" si="8"/>
        <v>0.2857142857142857</v>
      </c>
      <c r="N20" s="3">
        <f t="shared" si="8"/>
        <v>0.2857142857142857</v>
      </c>
      <c r="O20" s="3">
        <f t="shared" si="8"/>
        <v>0</v>
      </c>
      <c r="P20" s="3">
        <f t="shared" si="8"/>
        <v>0</v>
      </c>
      <c r="Q20" s="3">
        <f t="shared" si="8"/>
        <v>0</v>
      </c>
      <c r="R20" s="3">
        <f t="shared" si="8"/>
        <v>0</v>
      </c>
      <c r="S20" s="3">
        <f t="shared" si="8"/>
        <v>0</v>
      </c>
      <c r="T20" s="3">
        <f t="shared" si="8"/>
        <v>0</v>
      </c>
      <c r="U20" s="3">
        <f t="shared" si="8"/>
        <v>0.90909090909090906</v>
      </c>
      <c r="V20" s="3">
        <f t="shared" si="8"/>
        <v>0</v>
      </c>
      <c r="W20" s="3">
        <f>AVERAGE(B20:V20)</f>
        <v>0.1181199752628324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SinPydantic</vt:lpstr>
      <vt:lpstr>Pydantic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Ángel Manuel García Carmona</cp:lastModifiedBy>
  <dcterms:created xsi:type="dcterms:W3CDTF">2025-02-27T17:25:01Z</dcterms:created>
  <dcterms:modified xsi:type="dcterms:W3CDTF">2025-03-01T21:33:35Z</dcterms:modified>
</cp:coreProperties>
</file>