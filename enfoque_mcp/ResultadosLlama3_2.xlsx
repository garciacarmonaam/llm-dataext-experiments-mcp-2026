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"/>
    </mc:Choice>
  </mc:AlternateContent>
  <xr:revisionPtr revIDLastSave="0" documentId="13_ncr:1_{47AE2D63-9B0D-45DE-B0AB-01EFBFDAD9A5}" xr6:coauthVersionLast="47" xr6:coauthVersionMax="47" xr10:uidLastSave="{00000000-0000-0000-0000-000000000000}"/>
  <bookViews>
    <workbookView xWindow="11472" yWindow="0" windowWidth="11664" windowHeight="12336" activeTab="1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E16" i="2" l="1"/>
  <c r="G15" i="2"/>
  <c r="F15" i="2"/>
  <c r="D17" i="2"/>
  <c r="C17" i="2"/>
  <c r="H15" i="2"/>
  <c r="H16" i="2"/>
  <c r="H17" i="2"/>
  <c r="G16" i="2"/>
  <c r="G17" i="2"/>
  <c r="F17" i="2"/>
  <c r="E17" i="2"/>
  <c r="D15" i="2"/>
  <c r="C16" i="2"/>
  <c r="B17" i="2"/>
  <c r="B15" i="2"/>
  <c r="B16" i="2"/>
  <c r="E16" i="1"/>
  <c r="H15" i="1"/>
  <c r="G15" i="1"/>
  <c r="F15" i="1"/>
  <c r="D16" i="1"/>
  <c r="C16" i="1"/>
  <c r="B16" i="1"/>
  <c r="F16" i="1"/>
  <c r="G16" i="1"/>
  <c r="H16" i="1"/>
  <c r="B17" i="1"/>
  <c r="C17" i="1"/>
  <c r="D17" i="1"/>
  <c r="E17" i="1"/>
  <c r="B15" i="1"/>
  <c r="F17" i="1"/>
  <c r="C15" i="1"/>
  <c r="G17" i="1"/>
  <c r="D15" i="1"/>
  <c r="H17" i="1"/>
  <c r="E15" i="1"/>
  <c r="F16" i="2"/>
  <c r="C15" i="2"/>
  <c r="D16" i="2"/>
  <c r="D18" i="2" s="1"/>
  <c r="E15" i="2"/>
  <c r="E18" i="2" l="1"/>
  <c r="C18" i="2"/>
  <c r="H18" i="2"/>
  <c r="G18" i="2"/>
  <c r="I17" i="2"/>
  <c r="F18" i="2"/>
  <c r="B18" i="2"/>
  <c r="I15" i="2"/>
  <c r="E18" i="1"/>
  <c r="C18" i="1"/>
  <c r="D18" i="1"/>
  <c r="I15" i="1"/>
  <c r="I17" i="1"/>
  <c r="H18" i="1"/>
  <c r="G18" i="1"/>
  <c r="F18" i="1"/>
  <c r="I16" i="1"/>
  <c r="B18" i="1"/>
  <c r="I16" i="2"/>
  <c r="I18" i="2" l="1"/>
  <c r="I18" i="1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<sst xmlns="http://schemas.openxmlformats.org/spreadsheetml/2006/main" count="116" uniqueCount="20">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</sst>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E11" sqref="E11"/>
    </sheetView>
  </sheetViews>
  <sheetFormatPr baseColWidth="10" defaultColWidth="8.88671875"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10" x14ac:dyDescent="0.3">
      <c r="A2">
        <v>1</v>
      </c>
      <c r="B2" t="s">
        <v>18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</row>
    <row r="3" spans="1:10" x14ac:dyDescent="0.3">
      <c r="A3">
        <v>2</v>
      </c>
      <c r="B3" t="s">
        <v>18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18</v>
      </c>
    </row>
    <row r="4" spans="1:10" x14ac:dyDescent="0.3">
      <c r="A4">
        <v>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18</v>
      </c>
      <c r="H4" t="s">
        <v>17</v>
      </c>
    </row>
    <row r="5" spans="1:10" x14ac:dyDescent="0.3">
      <c r="A5">
        <v>4</v>
      </c>
      <c r="B5" t="s">
        <v>18</v>
      </c>
      <c r="C5" t="s">
        <v>18</v>
      </c>
      <c r="D5" t="s">
        <v>18</v>
      </c>
      <c r="E5" t="s">
        <v>19</v>
      </c>
      <c r="F5" t="s">
        <v>17</v>
      </c>
      <c r="G5" t="s">
        <v>17</v>
      </c>
      <c r="H5" t="s">
        <v>18</v>
      </c>
    </row>
    <row r="6" spans="1:10" x14ac:dyDescent="0.3">
      <c r="A6">
        <v>5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</row>
    <row r="7" spans="1:10" x14ac:dyDescent="0.3">
      <c r="A7">
        <v>6</v>
      </c>
      <c r="B7" t="s">
        <v>19</v>
      </c>
      <c r="C7" t="s">
        <v>17</v>
      </c>
      <c r="D7" t="s">
        <v>17</v>
      </c>
      <c r="E7" t="s">
        <v>17</v>
      </c>
      <c r="F7" t="s">
        <v>17</v>
      </c>
      <c r="G7" t="s">
        <v>18</v>
      </c>
      <c r="H7" t="s">
        <v>16</v>
      </c>
    </row>
    <row r="9" spans="1:10" x14ac:dyDescent="0.3">
      <c r="A9" s="1" t="s">
        <v>8</v>
      </c>
      <c r="B9">
        <f>COUNTIF(B2:B7, "A")</f>
        <v>2</v>
      </c>
      <c r="C9">
        <f t="shared" ref="C9:H9" si="0">COUNTIF(C2:C7, "A")</f>
        <v>3</v>
      </c>
      <c r="D9">
        <f t="shared" si="0"/>
        <v>5</v>
      </c>
      <c r="E9">
        <f t="shared" si="0"/>
        <v>5</v>
      </c>
      <c r="F9">
        <f t="shared" si="0"/>
        <v>6</v>
      </c>
      <c r="G9">
        <f t="shared" si="0"/>
        <v>4</v>
      </c>
      <c r="H9">
        <f t="shared" si="0"/>
        <v>3</v>
      </c>
      <c r="J9" s="2"/>
    </row>
    <row r="10" spans="1:10" x14ac:dyDescent="0.3">
      <c r="A10" s="1" t="s">
        <v>9</v>
      </c>
      <c r="B10">
        <f>COUNTIF(B2:B7, "B")</f>
        <v>0</v>
      </c>
      <c r="C10">
        <f t="shared" ref="C10:H10" si="1">COUNTIF(C2:C7, "B")</f>
        <v>1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1</v>
      </c>
      <c r="J10" s="2"/>
    </row>
    <row r="11" spans="1:10" x14ac:dyDescent="0.3">
      <c r="A11" s="1" t="s">
        <v>10</v>
      </c>
      <c r="B11">
        <f>COUNTIF(B2:B7, "C")</f>
        <v>1</v>
      </c>
      <c r="C11">
        <f t="shared" ref="C11:H11" si="2">COUNTIF(C2:C7, "C")</f>
        <v>0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1" t="s">
        <v>11</v>
      </c>
      <c r="B12">
        <f>COUNTIF(B2:B7, "D")</f>
        <v>3</v>
      </c>
      <c r="C12">
        <f t="shared" ref="C12:H12" si="3">COUNTIF(C2:C7, "D")</f>
        <v>2</v>
      </c>
      <c r="D12">
        <f t="shared" si="3"/>
        <v>1</v>
      </c>
      <c r="E12">
        <f t="shared" si="3"/>
        <v>0</v>
      </c>
      <c r="F12">
        <f t="shared" si="3"/>
        <v>0</v>
      </c>
      <c r="G12">
        <f t="shared" si="3"/>
        <v>2</v>
      </c>
      <c r="H12">
        <f t="shared" si="3"/>
        <v>2</v>
      </c>
    </row>
    <row r="15" spans="1:10" x14ac:dyDescent="0.3">
      <c r="A15" s="1" t="s">
        <v>12</v>
      </c>
      <c r="B15" s="2">
        <f xml:space="preserve"> IFERROR((B9 + B11) / (B9 + B10 + B11 + B12), 0)</f>
        <v>0.5</v>
      </c>
      <c r="C15" s="2">
        <f t="shared" ref="C15:H15" si="4" xml:space="preserve"> IFERROR((C9 + C11) / (C9 + C10 + C11 + C12), 0)</f>
        <v>0.5</v>
      </c>
      <c r="D15" s="2">
        <f t="shared" si="4"/>
        <v>0.83333333333333337</v>
      </c>
      <c r="E15" s="2">
        <f t="shared" si="4"/>
        <v>1</v>
      </c>
      <c r="F15" s="2">
        <f t="shared" si="4"/>
        <v>1</v>
      </c>
      <c r="G15" s="2">
        <f t="shared" si="4"/>
        <v>0.66666666666666663</v>
      </c>
      <c r="H15" s="2">
        <f t="shared" si="4"/>
        <v>0.5</v>
      </c>
      <c r="I15" s="2">
        <f>AVERAGE(B15:H15)</f>
        <v>0.7142857142857143</v>
      </c>
    </row>
    <row r="16" spans="1:10" x14ac:dyDescent="0.3">
      <c r="A16" s="1" t="s">
        <v>13</v>
      </c>
      <c r="B16" s="2">
        <f xml:space="preserve"> IFERROR((B9) / (B9 + B10), 0)</f>
        <v>1</v>
      </c>
      <c r="C16" s="2">
        <f t="shared" ref="C16:H16" si="5" xml:space="preserve"> IFERROR((C9) / (C9 + C10), 0)</f>
        <v>0.75</v>
      </c>
      <c r="D16" s="2">
        <f t="shared" si="5"/>
        <v>1</v>
      </c>
      <c r="E16" s="2">
        <f t="shared" si="5"/>
        <v>1</v>
      </c>
      <c r="F16" s="2">
        <f t="shared" si="5"/>
        <v>1</v>
      </c>
      <c r="G16" s="2">
        <f t="shared" si="5"/>
        <v>1</v>
      </c>
      <c r="H16" s="2">
        <f t="shared" si="5"/>
        <v>0.75</v>
      </c>
      <c r="I16" s="2">
        <f t="shared" ref="I16:I18" si="6">AVERAGE(B16:H16)</f>
        <v>0.9285714285714286</v>
      </c>
    </row>
    <row r="17" spans="1:9" x14ac:dyDescent="0.3">
      <c r="A17" s="1" t="s">
        <v>14</v>
      </c>
      <c r="B17" s="2">
        <f xml:space="preserve"> IFERROR((B9) / (B9 + B12), 0)</f>
        <v>0.4</v>
      </c>
      <c r="C17" s="2">
        <f t="shared" ref="C17:H17" si="7" xml:space="preserve"> IFERROR((C9) / (C9 + C12), 0)</f>
        <v>0.6</v>
      </c>
      <c r="D17" s="2">
        <f t="shared" si="7"/>
        <v>0.83333333333333337</v>
      </c>
      <c r="E17" s="2">
        <f t="shared" si="7"/>
        <v>1</v>
      </c>
      <c r="F17" s="2">
        <f t="shared" si="7"/>
        <v>1</v>
      </c>
      <c r="G17" s="2">
        <f t="shared" si="7"/>
        <v>0.66666666666666663</v>
      </c>
      <c r="H17" s="2">
        <f t="shared" si="7"/>
        <v>0.6</v>
      </c>
      <c r="I17" s="2">
        <f t="shared" si="6"/>
        <v>0.72857142857142854</v>
      </c>
    </row>
    <row r="18" spans="1:9" x14ac:dyDescent="0.3">
      <c r="A18" s="1" t="s">
        <v>15</v>
      </c>
      <c r="B18" s="2">
        <f>IFERROR(2 * (B16 * B17) / (B16 + B17), 0)</f>
        <v>0.57142857142857151</v>
      </c>
      <c r="C18" s="2">
        <f t="shared" ref="C18:H18" si="8">IFERROR(2 * (C16 * C17) / (C16 + C17), 0)</f>
        <v>0.66666666666666652</v>
      </c>
      <c r="D18" s="2">
        <f t="shared" si="8"/>
        <v>0.90909090909090906</v>
      </c>
      <c r="E18" s="2">
        <f t="shared" si="8"/>
        <v>1</v>
      </c>
      <c r="F18" s="2">
        <f t="shared" si="8"/>
        <v>1</v>
      </c>
      <c r="G18" s="2">
        <f t="shared" si="8"/>
        <v>0.8</v>
      </c>
      <c r="H18" s="2">
        <f t="shared" si="8"/>
        <v>0.66666666666666652</v>
      </c>
      <c r="I18" s="2">
        <f t="shared" si="6"/>
        <v>0.80197897340754487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selection activeCell="H12" sqref="H12"/>
    </sheetView>
  </sheetViews>
  <sheetFormatPr baseColWidth="10" defaultColWidth="8.88671875"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10" x14ac:dyDescent="0.3">
      <c r="A2">
        <v>1</v>
      </c>
      <c r="B2" t="s">
        <v>16</v>
      </c>
      <c r="C2" t="s">
        <v>17</v>
      </c>
      <c r="D2" t="s">
        <v>17</v>
      </c>
      <c r="E2" t="s">
        <v>17</v>
      </c>
      <c r="F2" t="s">
        <v>17</v>
      </c>
      <c r="G2" t="s">
        <v>16</v>
      </c>
      <c r="H2" t="s">
        <v>17</v>
      </c>
    </row>
    <row r="3" spans="1:10" x14ac:dyDescent="0.3">
      <c r="A3">
        <v>2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</row>
    <row r="4" spans="1:10" x14ac:dyDescent="0.3">
      <c r="A4">
        <v>3</v>
      </c>
      <c r="B4" t="s">
        <v>17</v>
      </c>
      <c r="C4" t="s">
        <v>17</v>
      </c>
      <c r="D4" t="s">
        <v>17</v>
      </c>
      <c r="E4" t="s">
        <v>17</v>
      </c>
      <c r="F4" t="s">
        <v>16</v>
      </c>
      <c r="G4" t="s">
        <v>16</v>
      </c>
      <c r="H4" t="s">
        <v>17</v>
      </c>
    </row>
    <row r="5" spans="1:10" x14ac:dyDescent="0.3">
      <c r="A5">
        <v>4</v>
      </c>
      <c r="B5" t="s">
        <v>17</v>
      </c>
      <c r="C5" t="s">
        <v>16</v>
      </c>
      <c r="D5" t="s">
        <v>17</v>
      </c>
      <c r="E5" t="s">
        <v>16</v>
      </c>
      <c r="F5" t="s">
        <v>17</v>
      </c>
      <c r="G5" t="s">
        <v>17</v>
      </c>
      <c r="H5" t="s">
        <v>17</v>
      </c>
    </row>
    <row r="6" spans="1:10" x14ac:dyDescent="0.3">
      <c r="A6">
        <v>5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</row>
    <row r="7" spans="1:10" x14ac:dyDescent="0.3">
      <c r="A7">
        <v>6</v>
      </c>
      <c r="B7" t="s">
        <v>16</v>
      </c>
      <c r="C7" t="s">
        <v>17</v>
      </c>
      <c r="D7" t="s">
        <v>17</v>
      </c>
      <c r="E7" t="s">
        <v>17</v>
      </c>
      <c r="F7" t="s">
        <v>17</v>
      </c>
      <c r="G7" t="s">
        <v>18</v>
      </c>
      <c r="H7" t="s">
        <v>16</v>
      </c>
    </row>
    <row r="9" spans="1:10" x14ac:dyDescent="0.3">
      <c r="A9" s="1" t="s">
        <v>8</v>
      </c>
      <c r="B9">
        <f>COUNTIF(B2:B7, "A")</f>
        <v>4</v>
      </c>
      <c r="C9">
        <f t="shared" ref="C9:H9" si="0">COUNTIF(C2:C7, "A")</f>
        <v>5</v>
      </c>
      <c r="D9">
        <f t="shared" si="0"/>
        <v>6</v>
      </c>
      <c r="E9">
        <f t="shared" si="0"/>
        <v>5</v>
      </c>
      <c r="F9">
        <f t="shared" si="0"/>
        <v>5</v>
      </c>
      <c r="G9">
        <f t="shared" si="0"/>
        <v>3</v>
      </c>
      <c r="H9">
        <f t="shared" si="0"/>
        <v>5</v>
      </c>
      <c r="J9" s="2"/>
    </row>
    <row r="10" spans="1:10" x14ac:dyDescent="0.3">
      <c r="A10" s="1" t="s">
        <v>9</v>
      </c>
      <c r="B10">
        <f>COUNTIF(B2:B7, "B")</f>
        <v>2</v>
      </c>
      <c r="C10">
        <f t="shared" ref="C10:H10" si="1">COUNTIF(C2:C7, "B")</f>
        <v>1</v>
      </c>
      <c r="D10">
        <f t="shared" si="1"/>
        <v>0</v>
      </c>
      <c r="E10">
        <f t="shared" si="1"/>
        <v>1</v>
      </c>
      <c r="F10">
        <f t="shared" si="1"/>
        <v>1</v>
      </c>
      <c r="G10">
        <f t="shared" si="1"/>
        <v>2</v>
      </c>
      <c r="H10">
        <f t="shared" si="1"/>
        <v>1</v>
      </c>
      <c r="J10" s="2"/>
    </row>
    <row r="11" spans="1:10" x14ac:dyDescent="0.3">
      <c r="A11" s="1" t="s">
        <v>10</v>
      </c>
      <c r="B11">
        <f>COUNTIF(B2:B7, "C")</f>
        <v>0</v>
      </c>
      <c r="C11">
        <f t="shared" ref="C11:H11" si="2">COUNTIF(C2:C7, "C")</f>
        <v>0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1" t="s">
        <v>11</v>
      </c>
      <c r="B12">
        <f>COUNTIF(B2:B7, "D")</f>
        <v>0</v>
      </c>
      <c r="C12">
        <f t="shared" ref="C12:H12" si="3">COUNTIF(C2:C7, "D")</f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1</v>
      </c>
      <c r="H12">
        <f t="shared" si="3"/>
        <v>0</v>
      </c>
    </row>
    <row r="15" spans="1:10" x14ac:dyDescent="0.3">
      <c r="A15" s="1" t="s">
        <v>12</v>
      </c>
      <c r="B15" s="2">
        <f xml:space="preserve"> IFERROR((B9 + B11) / (B9 + B10 + B11 + B12), 0)</f>
        <v>0.66666666666666663</v>
      </c>
      <c r="C15" s="2">
        <f t="shared" ref="C15:H15" si="4" xml:space="preserve"> IFERROR((C9 + C11) / (C9 + C10 + C11 + C12), 0)</f>
        <v>0.83333333333333337</v>
      </c>
      <c r="D15" s="2">
        <f t="shared" si="4"/>
        <v>1</v>
      </c>
      <c r="E15" s="2">
        <f t="shared" si="4"/>
        <v>0.83333333333333337</v>
      </c>
      <c r="F15" s="2">
        <f t="shared" si="4"/>
        <v>0.83333333333333337</v>
      </c>
      <c r="G15" s="2">
        <f t="shared" si="4"/>
        <v>0.5</v>
      </c>
      <c r="H15" s="2">
        <f t="shared" si="4"/>
        <v>0.83333333333333337</v>
      </c>
      <c r="I15" s="2">
        <f>AVERAGE(B15:H15)</f>
        <v>0.7857142857142857</v>
      </c>
    </row>
    <row r="16" spans="1:10" x14ac:dyDescent="0.3">
      <c r="A16" s="1" t="s">
        <v>13</v>
      </c>
      <c r="B16" s="2">
        <f xml:space="preserve"> IFERROR((B9) / (B9 + B10), 0)</f>
        <v>0.66666666666666663</v>
      </c>
      <c r="C16" s="2">
        <f t="shared" ref="C16:H16" si="5" xml:space="preserve"> IFERROR((C9) / (C9 + C10), 0)</f>
        <v>0.83333333333333337</v>
      </c>
      <c r="D16" s="2">
        <f t="shared" si="5"/>
        <v>1</v>
      </c>
      <c r="E16" s="2">
        <f t="shared" si="5"/>
        <v>0.83333333333333337</v>
      </c>
      <c r="F16" s="2">
        <f t="shared" si="5"/>
        <v>0.83333333333333337</v>
      </c>
      <c r="G16" s="2">
        <f t="shared" si="5"/>
        <v>0.6</v>
      </c>
      <c r="H16" s="2">
        <f t="shared" si="5"/>
        <v>0.83333333333333337</v>
      </c>
      <c r="I16" s="2">
        <f t="shared" ref="I16:I18" si="6">AVERAGE(B16:H16)</f>
        <v>0.79999999999999993</v>
      </c>
    </row>
    <row r="17" spans="1:9" x14ac:dyDescent="0.3">
      <c r="A17" s="1" t="s">
        <v>14</v>
      </c>
      <c r="B17" s="2">
        <f xml:space="preserve"> IFERROR((B9) / (B9 + B12), 0)</f>
        <v>1</v>
      </c>
      <c r="C17" s="2">
        <f t="shared" ref="C17:H17" si="7" xml:space="preserve"> IFERROR((C9) / (C9 + C12), 0)</f>
        <v>1</v>
      </c>
      <c r="D17" s="2">
        <f t="shared" si="7"/>
        <v>1</v>
      </c>
      <c r="E17" s="2">
        <f t="shared" si="7"/>
        <v>1</v>
      </c>
      <c r="F17" s="2">
        <f t="shared" si="7"/>
        <v>1</v>
      </c>
      <c r="G17" s="2">
        <f t="shared" si="7"/>
        <v>0.75</v>
      </c>
      <c r="H17" s="2">
        <f t="shared" si="7"/>
        <v>1</v>
      </c>
      <c r="I17" s="2">
        <f t="shared" si="6"/>
        <v>0.9642857142857143</v>
      </c>
    </row>
    <row r="18" spans="1:9" x14ac:dyDescent="0.3">
      <c r="A18" s="1" t="s">
        <v>15</v>
      </c>
      <c r="B18" s="2">
        <f>IFERROR(2 * (B16 * B17) / (B16 + B17), 0)</f>
        <v>0.8</v>
      </c>
      <c r="C18" s="2">
        <f t="shared" ref="C18:H18" si="8">IFERROR(2 * (C16 * C17) / (C16 + C17), 0)</f>
        <v>0.90909090909090906</v>
      </c>
      <c r="D18" s="2">
        <f t="shared" si="8"/>
        <v>1</v>
      </c>
      <c r="E18" s="2">
        <f t="shared" si="8"/>
        <v>0.90909090909090906</v>
      </c>
      <c r="F18" s="2">
        <f t="shared" si="8"/>
        <v>0.90909090909090906</v>
      </c>
      <c r="G18" s="2">
        <f t="shared" si="8"/>
        <v>0.66666666666666652</v>
      </c>
      <c r="H18" s="2">
        <f t="shared" si="8"/>
        <v>0.90909090909090906</v>
      </c>
      <c r="I18" s="2">
        <f t="shared" si="6"/>
        <v>0.87186147186147178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2025-07-27T17:15:14Z</dcterms:modified>
</cp:coreProperties>
</file>