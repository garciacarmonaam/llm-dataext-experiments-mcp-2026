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huggingface\"/>
    </mc:Choice>
  </mc:AlternateContent>
  <xr:revisionPtr revIDLastSave="0" documentId="13_ncr:1_{189EA38B-05F5-4B05-B1FC-C2860434EBF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E16" i="2" s="1"/>
  <c r="D9" i="2"/>
  <c r="C9" i="2"/>
  <c r="B9" i="2"/>
  <c r="C16" i="2" l="1"/>
  <c r="H16" i="2"/>
  <c r="B17" i="2"/>
  <c r="D15" i="2"/>
  <c r="F15" i="2"/>
  <c r="G15" i="2"/>
  <c r="H15" i="2"/>
  <c r="F16" i="2"/>
  <c r="G16" i="2"/>
  <c r="C17" i="1"/>
  <c r="E17" i="1"/>
  <c r="B17" i="1"/>
  <c r="D15" i="1"/>
  <c r="F15" i="1"/>
  <c r="G15" i="1"/>
  <c r="H15" i="1"/>
  <c r="B16" i="1"/>
  <c r="C16" i="1"/>
  <c r="D16" i="1"/>
  <c r="E16" i="1"/>
  <c r="F16" i="1"/>
  <c r="G16" i="1"/>
  <c r="H16" i="1"/>
  <c r="D17" i="1"/>
  <c r="B15" i="1"/>
  <c r="F17" i="1"/>
  <c r="C15" i="1"/>
  <c r="G17" i="1"/>
  <c r="H17" i="1"/>
  <c r="E15" i="1"/>
  <c r="D17" i="2"/>
  <c r="E17" i="2"/>
  <c r="E18" i="2" s="1"/>
  <c r="B15" i="2"/>
  <c r="F17" i="2"/>
  <c r="C15" i="2"/>
  <c r="G17" i="2"/>
  <c r="C17" i="2"/>
  <c r="B16" i="2"/>
  <c r="H17" i="2"/>
  <c r="E15" i="2"/>
  <c r="D16" i="2"/>
  <c r="F18" i="2" l="1"/>
  <c r="H18" i="2"/>
  <c r="G18" i="2"/>
  <c r="D18" i="2"/>
  <c r="I17" i="2"/>
  <c r="E18" i="1"/>
  <c r="C18" i="1"/>
  <c r="B18" i="1"/>
  <c r="F18" i="1"/>
  <c r="D18" i="1"/>
  <c r="I16" i="1"/>
  <c r="I17" i="1"/>
  <c r="H18" i="1"/>
  <c r="G18" i="1"/>
  <c r="I15" i="1"/>
  <c r="B18" i="2"/>
  <c r="I16" i="2"/>
  <c r="I15" i="2"/>
  <c r="C18" i="2"/>
  <c r="I18" i="1" l="1"/>
  <c r="I18" i="2"/>
</calcChain>
</file>

<file path=xl/sharedStrings.xml><?xml version="1.0" encoding="utf-8"?>
<sst xmlns="http://schemas.openxmlformats.org/spreadsheetml/2006/main" count="116" uniqueCount="20">
  <si>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</si>
  <si>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</si>
  <si>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</si>
  <si>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</si>
  <si>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</si>
  <si>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</si>
  <si>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</si>
  <si>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</si>
  <si>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A</t>
  </si>
  <si>
    <t>C</t>
  </si>
  <si>
    <t>D</t>
  </si>
  <si>
    <t>B</t>
  </si>
  <si>
    <t>A - VP</t>
  </si>
  <si>
    <t>B - FP</t>
  </si>
  <si>
    <t>C - VN</t>
  </si>
  <si>
    <t>D - FN</t>
  </si>
  <si>
    <t>Accuracy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</si>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</sst>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9" sqref="H9"/>
    </sheetView>
  </sheetViews>
  <sheetFormatPr baseColWidth="10" defaultColWidth="8.88671875"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</row>
    <row r="2" spans="1:10" s="1" customFormat="1" x14ac:dyDescent="0.3">
      <c r="A2">
        <v>1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/>
    </row>
    <row r="3" spans="1:10" x14ac:dyDescent="0.3">
      <c r="A3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10" x14ac:dyDescent="0.3">
      <c r="A4">
        <v>3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11</v>
      </c>
      <c r="H4" t="s">
        <v>8</v>
      </c>
    </row>
    <row r="5" spans="1:10" x14ac:dyDescent="0.3">
      <c r="A5">
        <v>4</v>
      </c>
      <c r="B5" t="s">
        <v>8</v>
      </c>
      <c r="C5" t="s">
        <v>8</v>
      </c>
      <c r="D5" t="s">
        <v>8</v>
      </c>
      <c r="E5" t="s">
        <v>11</v>
      </c>
      <c r="F5" t="s">
        <v>8</v>
      </c>
      <c r="G5" t="s">
        <v>11</v>
      </c>
      <c r="H5" t="s">
        <v>8</v>
      </c>
    </row>
    <row r="6" spans="1:10" x14ac:dyDescent="0.3">
      <c r="A6">
        <v>5</v>
      </c>
      <c r="B6" t="s">
        <v>8</v>
      </c>
      <c r="C6" t="s">
        <v>10</v>
      </c>
      <c r="D6" t="s">
        <v>8</v>
      </c>
      <c r="E6" t="s">
        <v>8</v>
      </c>
      <c r="F6" t="s">
        <v>8</v>
      </c>
      <c r="G6" t="s">
        <v>11</v>
      </c>
      <c r="H6" t="s">
        <v>8</v>
      </c>
    </row>
    <row r="7" spans="1:10" x14ac:dyDescent="0.3">
      <c r="A7">
        <v>6</v>
      </c>
      <c r="B7" t="s">
        <v>8</v>
      </c>
      <c r="C7" t="s">
        <v>10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9" spans="1:10" x14ac:dyDescent="0.3">
      <c r="A9" s="2" t="s">
        <v>12</v>
      </c>
      <c r="B9">
        <f>COUNTIF(B2:B7, "A")</f>
        <v>6</v>
      </c>
      <c r="C9">
        <f>COUNTIF(C2:C7, "A")</f>
        <v>3</v>
      </c>
      <c r="D9">
        <f>COUNTIF(D2:D7, "A")</f>
        <v>6</v>
      </c>
      <c r="E9">
        <f>COUNTIF(E2:E7, "A")</f>
        <v>5</v>
      </c>
      <c r="F9">
        <f>COUNTIF(F2:F7, "A")</f>
        <v>6</v>
      </c>
      <c r="G9">
        <f>COUNTIF(G2:G7, "A")</f>
        <v>3</v>
      </c>
      <c r="H9">
        <f>COUNTIF(H2:H7, "A")</f>
        <v>6</v>
      </c>
      <c r="J9" s="3"/>
    </row>
    <row r="10" spans="1:10" x14ac:dyDescent="0.3">
      <c r="A10" s="2" t="s">
        <v>13</v>
      </c>
      <c r="B10">
        <f>COUNTIF(B2:B7, "B")</f>
        <v>0</v>
      </c>
      <c r="C10">
        <f>COUNTIF(C2:C7, "B")</f>
        <v>0</v>
      </c>
      <c r="D10">
        <f>COUNTIF(D2:D7, "B")</f>
        <v>0</v>
      </c>
      <c r="E10">
        <f>COUNTIF(E2:E7, "B")</f>
        <v>1</v>
      </c>
      <c r="F10">
        <f>COUNTIF(F2:F7, "B")</f>
        <v>0</v>
      </c>
      <c r="G10">
        <f>COUNTIF(G2:G7, "B")</f>
        <v>3</v>
      </c>
      <c r="H10">
        <f>COUNTIF(H2:H7, "B")</f>
        <v>0</v>
      </c>
      <c r="J10" s="3"/>
    </row>
    <row r="11" spans="1:10" x14ac:dyDescent="0.3">
      <c r="A11" s="2" t="s">
        <v>14</v>
      </c>
      <c r="B11">
        <f>COUNTIF(B2:B7, "C")</f>
        <v>0</v>
      </c>
      <c r="C11">
        <f>COUNTIF(C2:C7, "C")</f>
        <v>1</v>
      </c>
      <c r="D11">
        <f>COUNTIF(D2:D7, "C")</f>
        <v>0</v>
      </c>
      <c r="E11">
        <f>COUNTIF(E2:E7, "C")</f>
        <v>0</v>
      </c>
      <c r="F11">
        <f>COUNTIF(F2:F7, "C")</f>
        <v>0</v>
      </c>
      <c r="G11">
        <f>COUNTIF(G2:G7, "C")</f>
        <v>0</v>
      </c>
      <c r="H11">
        <f>COUNTIF(H2:H7, "C")</f>
        <v>0</v>
      </c>
    </row>
    <row r="12" spans="1:10" x14ac:dyDescent="0.3">
      <c r="A12" s="2" t="s">
        <v>15</v>
      </c>
      <c r="B12">
        <f>COUNTIF(B2:B7, "D")</f>
        <v>0</v>
      </c>
      <c r="C12">
        <f>COUNTIF(C2:C7, "D")</f>
        <v>2</v>
      </c>
      <c r="D12">
        <f>COUNTIF(D2:D7, "D")</f>
        <v>0</v>
      </c>
      <c r="E12">
        <f>COUNTIF(E2:E7, "D")</f>
        <v>0</v>
      </c>
      <c r="F12">
        <f>COUNTIF(F2:F7, "D")</f>
        <v>0</v>
      </c>
      <c r="G12">
        <f>COUNTIF(G2:G7, "D")</f>
        <v>0</v>
      </c>
      <c r="H12">
        <f>COUNTIF(H2:H7, "D")</f>
        <v>0</v>
      </c>
    </row>
    <row r="15" spans="1:10" x14ac:dyDescent="0.3">
      <c r="A15" s="2" t="s">
        <v>16</v>
      </c>
      <c r="B15" s="3">
        <f t="shared" ref="B15:H15" si="0">IFERROR((B9 + B11) / (B9 + B10 + B11 + B12), 0)</f>
        <v>1</v>
      </c>
      <c r="C15" s="3">
        <f t="shared" si="0"/>
        <v>0.66666666666666663</v>
      </c>
      <c r="D15" s="3">
        <f t="shared" si="0"/>
        <v>1</v>
      </c>
      <c r="E15" s="3">
        <f t="shared" si="0"/>
        <v>0.83333333333333337</v>
      </c>
      <c r="F15" s="3">
        <f t="shared" si="0"/>
        <v>1</v>
      </c>
      <c r="G15" s="3">
        <f t="shared" si="0"/>
        <v>0.5</v>
      </c>
      <c r="H15" s="3">
        <f t="shared" si="0"/>
        <v>1</v>
      </c>
      <c r="I15" s="3">
        <f>AVERAGE(B15:H15)</f>
        <v>0.8571428571428571</v>
      </c>
    </row>
    <row r="16" spans="1:10" x14ac:dyDescent="0.3">
      <c r="A16" s="2" t="s">
        <v>17</v>
      </c>
      <c r="B16" s="3">
        <f t="shared" ref="B16:H16" si="1">IFERROR((B9) / (B9 + B10), 0)</f>
        <v>1</v>
      </c>
      <c r="C16" s="3">
        <f t="shared" si="1"/>
        <v>1</v>
      </c>
      <c r="D16" s="3">
        <f t="shared" si="1"/>
        <v>1</v>
      </c>
      <c r="E16" s="3">
        <f t="shared" si="1"/>
        <v>0.83333333333333337</v>
      </c>
      <c r="F16" s="3">
        <f t="shared" si="1"/>
        <v>1</v>
      </c>
      <c r="G16" s="3">
        <f t="shared" si="1"/>
        <v>0.5</v>
      </c>
      <c r="H16" s="3">
        <f t="shared" si="1"/>
        <v>1</v>
      </c>
      <c r="I16" s="3">
        <f>AVERAGE(B16:H16)</f>
        <v>0.90476190476190488</v>
      </c>
    </row>
    <row r="17" spans="1:9" x14ac:dyDescent="0.3">
      <c r="A17" s="2" t="s">
        <v>18</v>
      </c>
      <c r="B17" s="3">
        <f t="shared" ref="B17:H17" si="2">IFERROR((B9) / (B9 + B12), 0)</f>
        <v>1</v>
      </c>
      <c r="C17" s="3">
        <f t="shared" si="2"/>
        <v>0.6</v>
      </c>
      <c r="D17" s="3">
        <f t="shared" si="2"/>
        <v>1</v>
      </c>
      <c r="E17" s="3">
        <f t="shared" si="2"/>
        <v>1</v>
      </c>
      <c r="F17" s="3">
        <f t="shared" si="2"/>
        <v>1</v>
      </c>
      <c r="G17" s="3">
        <f t="shared" si="2"/>
        <v>1</v>
      </c>
      <c r="H17" s="3">
        <f t="shared" si="2"/>
        <v>1</v>
      </c>
      <c r="I17" s="3">
        <f>AVERAGE(B17:H17)</f>
        <v>0.94285714285714284</v>
      </c>
    </row>
    <row r="18" spans="1:9" x14ac:dyDescent="0.3">
      <c r="A18" s="2" t="s">
        <v>19</v>
      </c>
      <c r="B18" s="3">
        <f t="shared" ref="B18:H18" si="3">IFERROR(2 * (B16 * B17) / (B16 + B17), 0)</f>
        <v>1</v>
      </c>
      <c r="C18" s="3">
        <f t="shared" si="3"/>
        <v>0.74999999999999989</v>
      </c>
      <c r="D18" s="3">
        <f t="shared" si="3"/>
        <v>1</v>
      </c>
      <c r="E18" s="3">
        <f t="shared" si="3"/>
        <v>0.90909090909090906</v>
      </c>
      <c r="F18" s="3">
        <f t="shared" si="3"/>
        <v>1</v>
      </c>
      <c r="G18" s="3">
        <f t="shared" si="3"/>
        <v>0.66666666666666663</v>
      </c>
      <c r="H18" s="3">
        <f t="shared" si="3"/>
        <v>1</v>
      </c>
      <c r="I18" s="3">
        <f>AVERAGE(B18:H18)</f>
        <v>0.90367965367965375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B1" workbookViewId="0">
      <selection activeCell="H10" sqref="H10"/>
    </sheetView>
  </sheetViews>
  <sheetFormatPr baseColWidth="10" defaultRowHeight="14.4" x14ac:dyDescent="0.3"/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</row>
    <row r="2" spans="1:10" x14ac:dyDescent="0.3">
      <c r="A2">
        <v>1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10" x14ac:dyDescent="0.3">
      <c r="A3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10" x14ac:dyDescent="0.3">
      <c r="A4">
        <v>3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11</v>
      </c>
      <c r="H4" t="s">
        <v>8</v>
      </c>
    </row>
    <row r="5" spans="1:10" x14ac:dyDescent="0.3">
      <c r="A5">
        <v>4</v>
      </c>
      <c r="B5" t="s">
        <v>8</v>
      </c>
      <c r="C5" t="s">
        <v>8</v>
      </c>
      <c r="D5" t="s">
        <v>8</v>
      </c>
      <c r="E5" t="s">
        <v>11</v>
      </c>
      <c r="F5" t="s">
        <v>8</v>
      </c>
      <c r="G5" t="s">
        <v>11</v>
      </c>
      <c r="H5" t="s">
        <v>8</v>
      </c>
    </row>
    <row r="6" spans="1:10" x14ac:dyDescent="0.3">
      <c r="A6">
        <v>5</v>
      </c>
      <c r="B6" t="s">
        <v>8</v>
      </c>
      <c r="C6" t="s">
        <v>10</v>
      </c>
      <c r="D6" t="s">
        <v>8</v>
      </c>
      <c r="E6" t="s">
        <v>8</v>
      </c>
      <c r="F6" t="s">
        <v>8</v>
      </c>
      <c r="G6" t="s">
        <v>11</v>
      </c>
      <c r="H6" t="s">
        <v>8</v>
      </c>
    </row>
    <row r="7" spans="1:10" x14ac:dyDescent="0.3">
      <c r="A7">
        <v>6</v>
      </c>
      <c r="B7" t="s">
        <v>9</v>
      </c>
      <c r="C7" t="s">
        <v>10</v>
      </c>
      <c r="D7" t="s">
        <v>8</v>
      </c>
      <c r="E7" t="s">
        <v>8</v>
      </c>
      <c r="F7" t="s">
        <v>8</v>
      </c>
      <c r="G7" t="s">
        <v>10</v>
      </c>
      <c r="H7" t="s">
        <v>8</v>
      </c>
    </row>
    <row r="9" spans="1:10" x14ac:dyDescent="0.3">
      <c r="A9" s="2" t="s">
        <v>12</v>
      </c>
      <c r="B9">
        <f t="shared" ref="B9:H9" si="0">COUNTIF(B2:B7, "A")</f>
        <v>5</v>
      </c>
      <c r="C9">
        <f t="shared" si="0"/>
        <v>3</v>
      </c>
      <c r="D9">
        <f t="shared" si="0"/>
        <v>6</v>
      </c>
      <c r="E9">
        <f t="shared" si="0"/>
        <v>5</v>
      </c>
      <c r="F9">
        <f t="shared" si="0"/>
        <v>6</v>
      </c>
      <c r="G9">
        <f t="shared" si="0"/>
        <v>2</v>
      </c>
      <c r="H9">
        <f t="shared" si="0"/>
        <v>6</v>
      </c>
      <c r="J9" s="3"/>
    </row>
    <row r="10" spans="1:10" x14ac:dyDescent="0.3">
      <c r="A10" s="2" t="s">
        <v>13</v>
      </c>
      <c r="B10">
        <f t="shared" ref="B10:H10" si="1">COUNTIF(B2:B7, "B")</f>
        <v>0</v>
      </c>
      <c r="C10">
        <f t="shared" si="1"/>
        <v>0</v>
      </c>
      <c r="D10">
        <f t="shared" si="1"/>
        <v>0</v>
      </c>
      <c r="E10">
        <f t="shared" si="1"/>
        <v>1</v>
      </c>
      <c r="F10">
        <f t="shared" si="1"/>
        <v>0</v>
      </c>
      <c r="G10">
        <f t="shared" si="1"/>
        <v>3</v>
      </c>
      <c r="H10">
        <f t="shared" si="1"/>
        <v>0</v>
      </c>
      <c r="J10" s="3"/>
    </row>
    <row r="11" spans="1:10" x14ac:dyDescent="0.3">
      <c r="A11" s="2" t="s">
        <v>14</v>
      </c>
      <c r="B11">
        <f t="shared" ref="B11:H11" si="2">COUNTIF(B2:B7, "C")</f>
        <v>1</v>
      </c>
      <c r="C11">
        <f t="shared" si="2"/>
        <v>1</v>
      </c>
      <c r="D11">
        <f t="shared" si="2"/>
        <v>0</v>
      </c>
      <c r="E11">
        <f t="shared" si="2"/>
        <v>0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15</v>
      </c>
      <c r="B12">
        <f t="shared" ref="B12:H12" si="3">COUNTIF(B2:B7, "D")</f>
        <v>0</v>
      </c>
      <c r="C12">
        <f t="shared" si="3"/>
        <v>2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1</v>
      </c>
      <c r="H12">
        <f t="shared" si="3"/>
        <v>0</v>
      </c>
    </row>
    <row r="15" spans="1:10" x14ac:dyDescent="0.3">
      <c r="A15" s="2" t="s">
        <v>16</v>
      </c>
      <c r="B15" s="3">
        <f t="shared" ref="B15:H15" si="4">IFERROR((B9 + B11) / (B9 + B10 + B11 + B12), 0)</f>
        <v>1</v>
      </c>
      <c r="C15" s="3">
        <f t="shared" si="4"/>
        <v>0.66666666666666663</v>
      </c>
      <c r="D15" s="3">
        <f t="shared" si="4"/>
        <v>1</v>
      </c>
      <c r="E15" s="3">
        <f t="shared" si="4"/>
        <v>0.83333333333333337</v>
      </c>
      <c r="F15" s="3">
        <f t="shared" si="4"/>
        <v>1</v>
      </c>
      <c r="G15" s="3">
        <f t="shared" si="4"/>
        <v>0.33333333333333331</v>
      </c>
      <c r="H15" s="3">
        <f t="shared" si="4"/>
        <v>1</v>
      </c>
      <c r="I15" s="3">
        <f>AVERAGE(B15:H15)</f>
        <v>0.83333333333333326</v>
      </c>
    </row>
    <row r="16" spans="1:10" x14ac:dyDescent="0.3">
      <c r="A16" s="2" t="s">
        <v>17</v>
      </c>
      <c r="B16" s="3">
        <f t="shared" ref="B16:H16" si="5">IFERROR((B9) / (B9 + B10), 0)</f>
        <v>1</v>
      </c>
      <c r="C16" s="3">
        <f t="shared" si="5"/>
        <v>1</v>
      </c>
      <c r="D16" s="3">
        <f t="shared" si="5"/>
        <v>1</v>
      </c>
      <c r="E16" s="3">
        <f t="shared" si="5"/>
        <v>0.83333333333333337</v>
      </c>
      <c r="F16" s="3">
        <f t="shared" si="5"/>
        <v>1</v>
      </c>
      <c r="G16" s="3">
        <f t="shared" si="5"/>
        <v>0.4</v>
      </c>
      <c r="H16" s="3">
        <f t="shared" si="5"/>
        <v>1</v>
      </c>
      <c r="I16" s="3">
        <f>AVERAGE(B16:H16)</f>
        <v>0.89047619047619064</v>
      </c>
    </row>
    <row r="17" spans="1:10" x14ac:dyDescent="0.3">
      <c r="A17" s="2" t="s">
        <v>18</v>
      </c>
      <c r="B17" s="3">
        <f t="shared" ref="B17:H17" si="6">IFERROR((B9) / (B9 + B12), 0)</f>
        <v>1</v>
      </c>
      <c r="C17" s="3">
        <f t="shared" si="6"/>
        <v>0.6</v>
      </c>
      <c r="D17" s="3">
        <f t="shared" si="6"/>
        <v>1</v>
      </c>
      <c r="E17" s="3">
        <f t="shared" si="6"/>
        <v>1</v>
      </c>
      <c r="F17" s="3">
        <f t="shared" si="6"/>
        <v>1</v>
      </c>
      <c r="G17" s="3">
        <f t="shared" si="6"/>
        <v>0.66666666666666663</v>
      </c>
      <c r="H17" s="3">
        <f t="shared" si="6"/>
        <v>1</v>
      </c>
      <c r="I17" s="3">
        <f>AVERAGE(B17:H17)</f>
        <v>0.89523809523809528</v>
      </c>
    </row>
    <row r="18" spans="1:10" x14ac:dyDescent="0.3">
      <c r="A18" s="2" t="s">
        <v>19</v>
      </c>
      <c r="B18" s="3">
        <f t="shared" ref="B18:H18" si="7">IFERROR(2 * (B16 * B17) / (B16 + B17), 0)</f>
        <v>1</v>
      </c>
      <c r="C18" s="3">
        <f t="shared" si="7"/>
        <v>0.74999999999999989</v>
      </c>
      <c r="D18" s="3">
        <f t="shared" si="7"/>
        <v>1</v>
      </c>
      <c r="E18" s="3">
        <f t="shared" si="7"/>
        <v>0.90909090909090906</v>
      </c>
      <c r="F18" s="3">
        <f t="shared" si="7"/>
        <v>1</v>
      </c>
      <c r="G18" s="3">
        <f t="shared" si="7"/>
        <v>0.5</v>
      </c>
      <c r="H18" s="3">
        <f t="shared" si="7"/>
        <v>1</v>
      </c>
      <c r="I18" s="3">
        <f>AVERAGE(B18:H18)</f>
        <v>0.87987012987012991</v>
      </c>
    </row>
    <row r="19" spans="1:10" x14ac:dyDescent="0.3"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B24" s="1"/>
      <c r="C24" s="1"/>
      <c r="D24" s="1"/>
      <c r="E24" s="1"/>
      <c r="F24" s="1"/>
      <c r="G24" s="1"/>
      <c r="H24" s="1"/>
      <c r="I24" s="1"/>
      <c r="J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2025-08-02T09:51:39Z</dcterms:modified>
</cp:coreProperties>
</file>