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\home\amgc\experimento_tesis\enfoque_mcp\huggingface\"/>
    </mc:Choice>
  </mc:AlternateContent>
  <xr:revisionPtr revIDLastSave="0" documentId="13_ncr:1_{14FBDD1F-00B7-4B34-84C3-F5A5EB5FB29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on_pydantic" sheetId="1" r:id="rId1"/>
    <sheet name="sin_pydan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E10" i="2"/>
  <c r="D10" i="2"/>
  <c r="C10" i="2"/>
  <c r="B10" i="2"/>
  <c r="H9" i="2"/>
  <c r="G9" i="2"/>
  <c r="F9" i="2"/>
  <c r="E9" i="2"/>
  <c r="D9" i="2"/>
  <c r="C9" i="2"/>
  <c r="B9" i="2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C16" i="1" s="1"/>
  <c r="B9" i="1"/>
  <c r="B16" i="1" l="1"/>
  <c r="D16" i="2"/>
  <c r="H17" i="2"/>
  <c r="G15" i="1"/>
  <c r="H16" i="2"/>
  <c r="G17" i="2"/>
  <c r="G16" i="2"/>
  <c r="F15" i="2"/>
  <c r="F16" i="2"/>
  <c r="E16" i="2"/>
  <c r="C16" i="2"/>
  <c r="B16" i="2"/>
  <c r="H15" i="1"/>
  <c r="F15" i="1"/>
  <c r="E16" i="1"/>
  <c r="D16" i="1"/>
  <c r="B17" i="2"/>
  <c r="C17" i="2"/>
  <c r="E17" i="2"/>
  <c r="F17" i="2"/>
  <c r="D15" i="2"/>
  <c r="G15" i="2"/>
  <c r="H15" i="2"/>
  <c r="D17" i="2"/>
  <c r="B15" i="2"/>
  <c r="C15" i="2"/>
  <c r="E15" i="2"/>
  <c r="F16" i="1"/>
  <c r="G16" i="1"/>
  <c r="H16" i="1"/>
  <c r="B17" i="1"/>
  <c r="C17" i="1"/>
  <c r="C18" i="1" s="1"/>
  <c r="D17" i="1"/>
  <c r="E17" i="1"/>
  <c r="B15" i="1"/>
  <c r="F17" i="1"/>
  <c r="C15" i="1"/>
  <c r="G17" i="1"/>
  <c r="D15" i="1"/>
  <c r="H17" i="1"/>
  <c r="E15" i="1"/>
  <c r="G18" i="2" l="1"/>
  <c r="F18" i="2"/>
  <c r="D18" i="2"/>
  <c r="H18" i="2"/>
  <c r="E18" i="1"/>
  <c r="D18" i="1"/>
  <c r="E18" i="2"/>
  <c r="I16" i="2"/>
  <c r="C18" i="2"/>
  <c r="I15" i="2"/>
  <c r="I17" i="2"/>
  <c r="B18" i="2"/>
  <c r="I15" i="1"/>
  <c r="I17" i="1"/>
  <c r="H18" i="1"/>
  <c r="G18" i="1"/>
  <c r="F18" i="1"/>
  <c r="I16" i="1"/>
  <c r="B18" i="1"/>
  <c r="I18" i="2" l="1"/>
  <c r="I18" i="1"/>
</calcChain>
</file>

<file path=xl/sharedStrings.xml><?xml version="1.0" encoding="utf-8"?>
<sst xmlns="http://schemas.openxmlformats.org/spreadsheetml/2006/main" count="116" uniqueCount="20">
  <si>
    <t>id</t>
  </si>
  <si>
    <t>edad</t>
  </si>
  <si>
    <t>sexo</t>
  </si>
  <si>
    <t>fecha_ingreso_uci</t>
  </si>
  <si>
    <t>fecha_alta_uci</t>
  </si>
  <si>
    <t>motivo_ingreso</t>
  </si>
  <si>
    <t>diagnostico</t>
  </si>
  <si>
    <t>procedencia</t>
  </si>
  <si>
    <t>A</t>
  </si>
  <si>
    <t>C</t>
  </si>
  <si>
    <t>D</t>
  </si>
  <si>
    <t>B</t>
  </si>
  <si>
    <t>A - VP</t>
  </si>
  <si>
    <t>B - FP</t>
  </si>
  <si>
    <t>C - VN</t>
  </si>
  <si>
    <t>D - FN</t>
  </si>
  <si>
    <t>Accuracy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</si>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</sst>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H8" sqref="H8"/>
    </sheetView>
  </sheetViews>
  <sheetFormatPr baseColWidth="10" defaultColWidth="8.88671875" defaultRowHeight="14.4" x14ac:dyDescent="0.3"/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/>
    </row>
    <row r="2" spans="1:10" s="1" customFormat="1" x14ac:dyDescent="0.3">
      <c r="A2">
        <v>1</v>
      </c>
      <c r="B2" t="s">
        <v>10</v>
      </c>
      <c r="C2" t="s">
        <v>9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/>
      <c r="J2"/>
    </row>
    <row r="3" spans="1:10" x14ac:dyDescent="0.3">
      <c r="A3">
        <v>2</v>
      </c>
      <c r="B3" t="s">
        <v>8</v>
      </c>
      <c r="C3" t="s">
        <v>10</v>
      </c>
      <c r="D3" t="s">
        <v>8</v>
      </c>
      <c r="E3" t="s">
        <v>8</v>
      </c>
      <c r="F3" t="s">
        <v>8</v>
      </c>
      <c r="G3" t="s">
        <v>8</v>
      </c>
      <c r="H3" t="s">
        <v>11</v>
      </c>
    </row>
    <row r="4" spans="1:10" x14ac:dyDescent="0.3">
      <c r="A4">
        <v>3</v>
      </c>
      <c r="B4" t="s">
        <v>8</v>
      </c>
      <c r="C4" t="s">
        <v>10</v>
      </c>
      <c r="D4" t="s">
        <v>8</v>
      </c>
      <c r="E4" t="s">
        <v>8</v>
      </c>
      <c r="F4" t="s">
        <v>8</v>
      </c>
      <c r="G4" t="s">
        <v>8</v>
      </c>
      <c r="H4" t="s">
        <v>8</v>
      </c>
    </row>
    <row r="5" spans="1:10" x14ac:dyDescent="0.3">
      <c r="A5">
        <v>4</v>
      </c>
      <c r="B5" t="s">
        <v>10</v>
      </c>
      <c r="C5" t="s">
        <v>10</v>
      </c>
      <c r="D5" t="s">
        <v>8</v>
      </c>
      <c r="E5" t="s">
        <v>9</v>
      </c>
      <c r="F5" t="s">
        <v>8</v>
      </c>
      <c r="G5" t="s">
        <v>8</v>
      </c>
      <c r="H5" t="s">
        <v>11</v>
      </c>
    </row>
    <row r="6" spans="1:10" x14ac:dyDescent="0.3">
      <c r="A6">
        <v>5</v>
      </c>
      <c r="B6" t="s">
        <v>10</v>
      </c>
      <c r="C6" t="s">
        <v>10</v>
      </c>
      <c r="D6" t="s">
        <v>8</v>
      </c>
      <c r="E6" t="s">
        <v>8</v>
      </c>
      <c r="F6" t="s">
        <v>8</v>
      </c>
      <c r="G6" t="s">
        <v>8</v>
      </c>
      <c r="H6" t="s">
        <v>11</v>
      </c>
    </row>
    <row r="7" spans="1:10" x14ac:dyDescent="0.3">
      <c r="A7">
        <v>6</v>
      </c>
      <c r="B7" t="s">
        <v>9</v>
      </c>
      <c r="C7" t="s">
        <v>10</v>
      </c>
      <c r="D7" t="s">
        <v>8</v>
      </c>
      <c r="E7" t="s">
        <v>8</v>
      </c>
      <c r="F7" t="s">
        <v>8</v>
      </c>
      <c r="G7" t="s">
        <v>8</v>
      </c>
      <c r="H7" t="s">
        <v>8</v>
      </c>
    </row>
    <row r="9" spans="1:10" x14ac:dyDescent="0.3">
      <c r="A9" s="2" t="s">
        <v>12</v>
      </c>
      <c r="B9">
        <f t="shared" ref="B9:H9" si="0">COUNTIF(B2:B7, "A")</f>
        <v>2</v>
      </c>
      <c r="C9">
        <f t="shared" si="0"/>
        <v>0</v>
      </c>
      <c r="D9">
        <f t="shared" si="0"/>
        <v>6</v>
      </c>
      <c r="E9">
        <f t="shared" si="0"/>
        <v>5</v>
      </c>
      <c r="F9">
        <f t="shared" si="0"/>
        <v>6</v>
      </c>
      <c r="G9">
        <f t="shared" si="0"/>
        <v>6</v>
      </c>
      <c r="H9">
        <f t="shared" si="0"/>
        <v>3</v>
      </c>
      <c r="J9" s="3"/>
    </row>
    <row r="10" spans="1:10" x14ac:dyDescent="0.3">
      <c r="A10" s="2" t="s">
        <v>13</v>
      </c>
      <c r="B10">
        <f t="shared" ref="B10:H10" si="1">COUNTIF(B2:B7, "B")</f>
        <v>0</v>
      </c>
      <c r="C10">
        <f t="shared" si="1"/>
        <v>0</v>
      </c>
      <c r="D10">
        <f t="shared" si="1"/>
        <v>0</v>
      </c>
      <c r="E10">
        <f t="shared" si="1"/>
        <v>0</v>
      </c>
      <c r="F10">
        <f t="shared" si="1"/>
        <v>0</v>
      </c>
      <c r="G10">
        <f t="shared" si="1"/>
        <v>0</v>
      </c>
      <c r="H10">
        <f t="shared" si="1"/>
        <v>3</v>
      </c>
      <c r="J10" s="3"/>
    </row>
    <row r="11" spans="1:10" x14ac:dyDescent="0.3">
      <c r="A11" s="2" t="s">
        <v>14</v>
      </c>
      <c r="B11">
        <f t="shared" ref="B11:H11" si="2">COUNTIF(B2:B7, "C")</f>
        <v>1</v>
      </c>
      <c r="C11">
        <f t="shared" si="2"/>
        <v>1</v>
      </c>
      <c r="D11">
        <f t="shared" si="2"/>
        <v>0</v>
      </c>
      <c r="E11">
        <f t="shared" si="2"/>
        <v>1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0" x14ac:dyDescent="0.3">
      <c r="A12" s="2" t="s">
        <v>15</v>
      </c>
      <c r="B12">
        <f t="shared" ref="B12:H12" si="3">COUNTIF(B2:B7, "D")</f>
        <v>3</v>
      </c>
      <c r="C12">
        <f t="shared" si="3"/>
        <v>5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</row>
    <row r="15" spans="1:10" x14ac:dyDescent="0.3">
      <c r="A15" s="2" t="s">
        <v>16</v>
      </c>
      <c r="B15" s="3">
        <f t="shared" ref="B15:H15" si="4">IFERROR((B9 + B11) / (B9 + B10 + B11 + B12), 0)</f>
        <v>0.5</v>
      </c>
      <c r="C15" s="3">
        <f t="shared" si="4"/>
        <v>0.16666666666666666</v>
      </c>
      <c r="D15" s="3">
        <f t="shared" si="4"/>
        <v>1</v>
      </c>
      <c r="E15" s="3">
        <f t="shared" si="4"/>
        <v>1</v>
      </c>
      <c r="F15" s="3">
        <f t="shared" si="4"/>
        <v>1</v>
      </c>
      <c r="G15" s="3">
        <f t="shared" si="4"/>
        <v>1</v>
      </c>
      <c r="H15" s="3">
        <f t="shared" si="4"/>
        <v>0.5</v>
      </c>
      <c r="I15" s="3">
        <f>AVERAGE(B15:H15)</f>
        <v>0.73809523809523803</v>
      </c>
    </row>
    <row r="16" spans="1:10" x14ac:dyDescent="0.3">
      <c r="A16" s="2" t="s">
        <v>17</v>
      </c>
      <c r="B16" s="3">
        <f t="shared" ref="B16:H16" si="5">IFERROR((B9) / (B9 + B10), 0)</f>
        <v>1</v>
      </c>
      <c r="C16" s="3">
        <f t="shared" si="5"/>
        <v>0</v>
      </c>
      <c r="D16" s="3">
        <f t="shared" si="5"/>
        <v>1</v>
      </c>
      <c r="E16" s="3">
        <f t="shared" si="5"/>
        <v>1</v>
      </c>
      <c r="F16" s="3">
        <f t="shared" si="5"/>
        <v>1</v>
      </c>
      <c r="G16" s="3">
        <f t="shared" si="5"/>
        <v>1</v>
      </c>
      <c r="H16" s="3">
        <f t="shared" si="5"/>
        <v>0.5</v>
      </c>
      <c r="I16" s="3">
        <f>AVERAGE(B16:H16)</f>
        <v>0.7857142857142857</v>
      </c>
    </row>
    <row r="17" spans="1:9" x14ac:dyDescent="0.3">
      <c r="A17" s="2" t="s">
        <v>18</v>
      </c>
      <c r="B17" s="3">
        <f t="shared" ref="B17:H17" si="6">IFERROR((B9) / (B9 + B12), 0)</f>
        <v>0.4</v>
      </c>
      <c r="C17" s="3">
        <f t="shared" si="6"/>
        <v>0</v>
      </c>
      <c r="D17" s="3">
        <f t="shared" si="6"/>
        <v>1</v>
      </c>
      <c r="E17" s="3">
        <f t="shared" si="6"/>
        <v>1</v>
      </c>
      <c r="F17" s="3">
        <f t="shared" si="6"/>
        <v>1</v>
      </c>
      <c r="G17" s="3">
        <f t="shared" si="6"/>
        <v>1</v>
      </c>
      <c r="H17" s="3">
        <f t="shared" si="6"/>
        <v>1</v>
      </c>
      <c r="I17" s="3">
        <f>AVERAGE(B17:H17)</f>
        <v>0.77142857142857146</v>
      </c>
    </row>
    <row r="18" spans="1:9" x14ac:dyDescent="0.3">
      <c r="A18" s="2" t="s">
        <v>19</v>
      </c>
      <c r="B18" s="3">
        <f t="shared" ref="B18:H18" si="7">IFERROR(2 * (B16 * B17) / (B16 + B17), 0)</f>
        <v>0.57142857142857151</v>
      </c>
      <c r="C18" s="3">
        <f t="shared" si="7"/>
        <v>0</v>
      </c>
      <c r="D18" s="3">
        <f t="shared" si="7"/>
        <v>1</v>
      </c>
      <c r="E18" s="3">
        <f t="shared" si="7"/>
        <v>1</v>
      </c>
      <c r="F18" s="3">
        <f t="shared" si="7"/>
        <v>1</v>
      </c>
      <c r="G18" s="3">
        <f t="shared" si="7"/>
        <v>1</v>
      </c>
      <c r="H18" s="3">
        <f t="shared" si="7"/>
        <v>0.66666666666666663</v>
      </c>
      <c r="I18" s="3">
        <f>AVERAGE(B18:H18)</f>
        <v>0.74829931972789121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selection activeCell="H8" sqref="H8"/>
    </sheetView>
  </sheetViews>
  <sheetFormatPr baseColWidth="10" defaultRowHeight="14.4" x14ac:dyDescent="0.3"/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/>
    </row>
    <row r="2" spans="1:10" x14ac:dyDescent="0.3">
      <c r="A2">
        <v>1</v>
      </c>
      <c r="B2" t="s">
        <v>8</v>
      </c>
      <c r="C2" t="s">
        <v>9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10" x14ac:dyDescent="0.3">
      <c r="A3">
        <v>2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10" x14ac:dyDescent="0.3">
      <c r="A4">
        <v>3</v>
      </c>
      <c r="B4" t="s">
        <v>8</v>
      </c>
      <c r="C4" t="s">
        <v>10</v>
      </c>
      <c r="D4" t="s">
        <v>8</v>
      </c>
      <c r="E4" t="s">
        <v>8</v>
      </c>
      <c r="F4" t="s">
        <v>8</v>
      </c>
      <c r="G4" t="s">
        <v>10</v>
      </c>
      <c r="H4" t="s">
        <v>8</v>
      </c>
    </row>
    <row r="5" spans="1:10" x14ac:dyDescent="0.3">
      <c r="A5">
        <v>4</v>
      </c>
      <c r="B5" t="s">
        <v>10</v>
      </c>
      <c r="C5" t="s">
        <v>10</v>
      </c>
      <c r="D5" t="s">
        <v>8</v>
      </c>
      <c r="E5" t="s">
        <v>11</v>
      </c>
      <c r="F5" t="s">
        <v>10</v>
      </c>
      <c r="G5" t="s">
        <v>10</v>
      </c>
      <c r="H5" t="s">
        <v>8</v>
      </c>
    </row>
    <row r="6" spans="1:10" x14ac:dyDescent="0.3">
      <c r="A6">
        <v>5</v>
      </c>
      <c r="B6" t="s">
        <v>10</v>
      </c>
      <c r="C6" t="s">
        <v>10</v>
      </c>
      <c r="D6" t="s">
        <v>8</v>
      </c>
      <c r="E6" t="s">
        <v>8</v>
      </c>
      <c r="F6" t="s">
        <v>8</v>
      </c>
      <c r="G6" t="s">
        <v>10</v>
      </c>
      <c r="H6" t="s">
        <v>8</v>
      </c>
    </row>
    <row r="7" spans="1:10" x14ac:dyDescent="0.3">
      <c r="A7">
        <v>6</v>
      </c>
      <c r="B7" t="s">
        <v>10</v>
      </c>
      <c r="C7" t="s">
        <v>10</v>
      </c>
      <c r="D7" t="s">
        <v>8</v>
      </c>
      <c r="E7" t="s">
        <v>8</v>
      </c>
      <c r="F7" t="s">
        <v>10</v>
      </c>
      <c r="G7" t="s">
        <v>10</v>
      </c>
      <c r="H7" t="s">
        <v>10</v>
      </c>
    </row>
    <row r="9" spans="1:10" x14ac:dyDescent="0.3">
      <c r="A9" s="2" t="s">
        <v>12</v>
      </c>
      <c r="B9">
        <f t="shared" ref="B9:H9" si="0">COUNTIF(B2:B7, "A")</f>
        <v>3</v>
      </c>
      <c r="C9">
        <f t="shared" si="0"/>
        <v>1</v>
      </c>
      <c r="D9">
        <f t="shared" si="0"/>
        <v>6</v>
      </c>
      <c r="E9">
        <f t="shared" si="0"/>
        <v>5</v>
      </c>
      <c r="F9">
        <f t="shared" si="0"/>
        <v>4</v>
      </c>
      <c r="G9">
        <f t="shared" si="0"/>
        <v>2</v>
      </c>
      <c r="H9">
        <f t="shared" si="0"/>
        <v>5</v>
      </c>
      <c r="J9" s="3"/>
    </row>
    <row r="10" spans="1:10" x14ac:dyDescent="0.3">
      <c r="A10" s="2" t="s">
        <v>13</v>
      </c>
      <c r="B10">
        <f t="shared" ref="B10:H10" si="1">COUNTIF(B2:B7, "B")</f>
        <v>0</v>
      </c>
      <c r="C10">
        <f t="shared" si="1"/>
        <v>0</v>
      </c>
      <c r="D10">
        <f t="shared" si="1"/>
        <v>0</v>
      </c>
      <c r="E10">
        <f t="shared" si="1"/>
        <v>1</v>
      </c>
      <c r="F10">
        <f t="shared" si="1"/>
        <v>0</v>
      </c>
      <c r="G10">
        <f t="shared" si="1"/>
        <v>0</v>
      </c>
      <c r="H10">
        <f t="shared" si="1"/>
        <v>0</v>
      </c>
      <c r="J10" s="3"/>
    </row>
    <row r="11" spans="1:10" x14ac:dyDescent="0.3">
      <c r="A11" s="2" t="s">
        <v>14</v>
      </c>
      <c r="B11">
        <f t="shared" ref="B11:H11" si="2">COUNTIF(B2:B7, "C")</f>
        <v>0</v>
      </c>
      <c r="C11">
        <f t="shared" si="2"/>
        <v>1</v>
      </c>
      <c r="D11">
        <f t="shared" si="2"/>
        <v>0</v>
      </c>
      <c r="E11">
        <f t="shared" si="2"/>
        <v>0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0" x14ac:dyDescent="0.3">
      <c r="A12" s="2" t="s">
        <v>15</v>
      </c>
      <c r="B12">
        <f t="shared" ref="B12:H12" si="3">COUNTIF(B2:B7, "D")</f>
        <v>3</v>
      </c>
      <c r="C12">
        <f t="shared" si="3"/>
        <v>4</v>
      </c>
      <c r="D12">
        <f t="shared" si="3"/>
        <v>0</v>
      </c>
      <c r="E12">
        <f t="shared" si="3"/>
        <v>0</v>
      </c>
      <c r="F12">
        <f t="shared" si="3"/>
        <v>2</v>
      </c>
      <c r="G12">
        <f t="shared" si="3"/>
        <v>4</v>
      </c>
      <c r="H12">
        <f t="shared" si="3"/>
        <v>1</v>
      </c>
    </row>
    <row r="15" spans="1:10" x14ac:dyDescent="0.3">
      <c r="A15" s="2" t="s">
        <v>16</v>
      </c>
      <c r="B15" s="3">
        <f t="shared" ref="B15:H15" si="4">IFERROR((B9 + B11) / (B9 + B10 + B11 + B12), 0)</f>
        <v>0.5</v>
      </c>
      <c r="C15" s="3">
        <f t="shared" si="4"/>
        <v>0.33333333333333331</v>
      </c>
      <c r="D15" s="3">
        <f t="shared" si="4"/>
        <v>1</v>
      </c>
      <c r="E15" s="3">
        <f t="shared" si="4"/>
        <v>0.83333333333333337</v>
      </c>
      <c r="F15" s="3">
        <f t="shared" si="4"/>
        <v>0.66666666666666663</v>
      </c>
      <c r="G15" s="3">
        <f t="shared" si="4"/>
        <v>0.33333333333333331</v>
      </c>
      <c r="H15" s="3">
        <f t="shared" si="4"/>
        <v>0.83333333333333337</v>
      </c>
      <c r="I15" s="3">
        <f>AVERAGE(B15:H15)</f>
        <v>0.6428571428571429</v>
      </c>
    </row>
    <row r="16" spans="1:10" x14ac:dyDescent="0.3">
      <c r="A16" s="2" t="s">
        <v>17</v>
      </c>
      <c r="B16" s="3">
        <f t="shared" ref="B16:H16" si="5">IFERROR((B9) / (B9 + B10), 0)</f>
        <v>1</v>
      </c>
      <c r="C16" s="3">
        <f t="shared" si="5"/>
        <v>1</v>
      </c>
      <c r="D16" s="3">
        <f t="shared" si="5"/>
        <v>1</v>
      </c>
      <c r="E16" s="3">
        <f t="shared" si="5"/>
        <v>0.83333333333333337</v>
      </c>
      <c r="F16" s="3">
        <f t="shared" si="5"/>
        <v>1</v>
      </c>
      <c r="G16" s="3">
        <f t="shared" si="5"/>
        <v>1</v>
      </c>
      <c r="H16" s="3">
        <f t="shared" si="5"/>
        <v>1</v>
      </c>
      <c r="I16" s="3">
        <f>AVERAGE(B16:H16)</f>
        <v>0.97619047619047628</v>
      </c>
    </row>
    <row r="17" spans="1:9" x14ac:dyDescent="0.3">
      <c r="A17" s="2" t="s">
        <v>18</v>
      </c>
      <c r="B17" s="3">
        <f t="shared" ref="B17:H17" si="6">IFERROR((B9) / (B9 + B12), 0)</f>
        <v>0.5</v>
      </c>
      <c r="C17" s="3">
        <f t="shared" si="6"/>
        <v>0.2</v>
      </c>
      <c r="D17" s="3">
        <f t="shared" si="6"/>
        <v>1</v>
      </c>
      <c r="E17" s="3">
        <f t="shared" si="6"/>
        <v>1</v>
      </c>
      <c r="F17" s="3">
        <f t="shared" si="6"/>
        <v>0.66666666666666663</v>
      </c>
      <c r="G17" s="3">
        <f t="shared" si="6"/>
        <v>0.33333333333333331</v>
      </c>
      <c r="H17" s="3">
        <f t="shared" si="6"/>
        <v>0.83333333333333337</v>
      </c>
      <c r="I17" s="3">
        <f>AVERAGE(B17:H17)</f>
        <v>0.64761904761904765</v>
      </c>
    </row>
    <row r="18" spans="1:9" x14ac:dyDescent="0.3">
      <c r="A18" s="2" t="s">
        <v>19</v>
      </c>
      <c r="B18" s="3">
        <f t="shared" ref="B18:H18" si="7">IFERROR(2 * (B16 * B17) / (B16 + B17), 0)</f>
        <v>0.66666666666666663</v>
      </c>
      <c r="C18" s="3">
        <f t="shared" si="7"/>
        <v>0.33333333333333337</v>
      </c>
      <c r="D18" s="3">
        <f t="shared" si="7"/>
        <v>1</v>
      </c>
      <c r="E18" s="3">
        <f t="shared" si="7"/>
        <v>0.90909090909090906</v>
      </c>
      <c r="F18" s="3">
        <f t="shared" si="7"/>
        <v>0.8</v>
      </c>
      <c r="G18" s="3">
        <f t="shared" si="7"/>
        <v>0.5</v>
      </c>
      <c r="H18" s="3">
        <f t="shared" si="7"/>
        <v>0.90909090909090906</v>
      </c>
      <c r="I18" s="3">
        <f>AVERAGE(B18:H18)</f>
        <v>0.73116883116883113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con_pydantic</vt:lpstr>
      <vt:lpstr>sin_pydantic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Manuel García Carmona</dc:creator>
  <cp:lastModifiedBy>Ángel Manuel García Carmona</cp:lastModifiedBy>
  <dcterms:created xsi:type="dcterms:W3CDTF">2015-06-05T18:17:20Z</dcterms:created>
  <dcterms:modified xsi:type="dcterms:W3CDTF">2025-08-02T11:12:39Z</dcterms:modified>
</cp:coreProperties>
</file>