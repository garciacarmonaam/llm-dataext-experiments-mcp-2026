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wsl.localhost\Ubuntu\home\amgc\experimento_tesis\enfoque_mcp\"/>
    </mc:Choice>
  </mc:AlternateContent>
  <xr:revisionPtr revIDLastSave="0" documentId="13_ncr:1_{A792F7B4-04DE-43E4-B17E-827F93D06B2F}" xr6:coauthVersionLast="47" xr6:coauthVersionMax="47" xr10:uidLastSave="{00000000-0000-0000-0000-000000000000}"/>
  <bookViews>
    <workbookView xWindow="11472" yWindow="0" windowWidth="11664" windowHeight="12336" xr2:uid="{00000000-000D-0000-FFFF-FFFF00000000}"/>
  </bookViews>
  <sheets>
    <sheet name="con_pydantic" sheetId="1" r:id="rId1"/>
    <sheet name="sin_pydanti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" l="1"/>
  <c r="G12" i="2"/>
  <c r="F12" i="2"/>
  <c r="E12" i="2"/>
  <c r="D12" i="2"/>
  <c r="C12" i="2"/>
  <c r="B12" i="2"/>
  <c r="H11" i="2"/>
  <c r="G11" i="2"/>
  <c r="F11" i="2"/>
  <c r="E11" i="2"/>
  <c r="D11" i="2"/>
  <c r="C11" i="2"/>
  <c r="B11" i="2"/>
  <c r="H10" i="2"/>
  <c r="G10" i="2"/>
  <c r="F10" i="2"/>
  <c r="E10" i="2"/>
  <c r="D10" i="2"/>
  <c r="C10" i="2"/>
  <c r="B10" i="2"/>
  <c r="H9" i="2"/>
  <c r="G9" i="2"/>
  <c r="F9" i="2"/>
  <c r="E9" i="2"/>
  <c r="D9" i="2"/>
  <c r="C9" i="2"/>
  <c r="B9" i="2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C16" i="1" l="1"/>
  <c r="B16" i="1"/>
  <c r="D16" i="1"/>
  <c r="G15" i="1"/>
  <c r="H15" i="1"/>
  <c r="F15" i="1"/>
  <c r="E16" i="1"/>
  <c r="F16" i="2"/>
  <c r="C16" i="2"/>
  <c r="H17" i="2"/>
  <c r="H16" i="2"/>
  <c r="G15" i="2"/>
  <c r="G16" i="2"/>
  <c r="F17" i="2"/>
  <c r="E16" i="2"/>
  <c r="D16" i="2"/>
  <c r="B16" i="2"/>
  <c r="C17" i="2"/>
  <c r="D17" i="2"/>
  <c r="D18" i="2" s="1"/>
  <c r="E17" i="2"/>
  <c r="C15" i="2"/>
  <c r="G17" i="2"/>
  <c r="E15" i="2"/>
  <c r="F15" i="2"/>
  <c r="H15" i="2"/>
  <c r="B17" i="2"/>
  <c r="B15" i="2"/>
  <c r="D15" i="2"/>
  <c r="F16" i="1"/>
  <c r="G16" i="1"/>
  <c r="H16" i="1"/>
  <c r="B17" i="1"/>
  <c r="C17" i="1"/>
  <c r="D17" i="1"/>
  <c r="E17" i="1"/>
  <c r="B15" i="1"/>
  <c r="F17" i="1"/>
  <c r="C15" i="1"/>
  <c r="G17" i="1"/>
  <c r="D15" i="1"/>
  <c r="H17" i="1"/>
  <c r="E15" i="1"/>
  <c r="C18" i="1" l="1"/>
  <c r="D18" i="1"/>
  <c r="E18" i="1"/>
  <c r="F18" i="2"/>
  <c r="E18" i="2"/>
  <c r="H18" i="2"/>
  <c r="C18" i="2"/>
  <c r="I16" i="2"/>
  <c r="G18" i="2"/>
  <c r="I17" i="2"/>
  <c r="I15" i="2"/>
  <c r="B18" i="2"/>
  <c r="I15" i="1"/>
  <c r="I17" i="1"/>
  <c r="H18" i="1"/>
  <c r="G18" i="1"/>
  <c r="F18" i="1"/>
  <c r="I16" i="1"/>
  <c r="B18" i="1"/>
  <c r="I18" i="1" l="1"/>
  <c r="I18" i="2"/>
</calcChain>
</file>

<file path=xl/sharedStrings.xml><?xml version="1.0" encoding="utf-8"?>
<sst xmlns="http://schemas.openxmlformats.org/spreadsheetml/2006/main" count="116" uniqueCount="20">
  <si>
    <t>id</t>
  </si>
  <si>
    <t>edad</t>
  </si>
  <si>
    <t>sexo</t>
  </si>
  <si>
    <t>fecha_ingreso_uci</t>
  </si>
  <si>
    <t>fecha_alta_uci</t>
  </si>
  <si>
    <t>motivo_ingreso</t>
  </si>
  <si>
    <t>diagnostico</t>
  </si>
  <si>
    <t>procedencia</t>
  </si>
  <si>
    <t>A - VP</t>
  </si>
  <si>
    <t>B - FP</t>
  </si>
  <si>
    <t>C - VN</t>
  </si>
  <si>
    <t>D - FN</t>
  </si>
  <si>
    <t>Accuracy</t>
  </si>
  <si>
    <t>Precision</t>
  </si>
  <si>
    <t>Recall</t>
  </si>
  <si>
    <t>F1</t>
  </si>
  <si>
    <t>A</t>
  </si>
  <si>
    <t>C</t>
  </si>
  <si>
    <t>D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</si>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</sst>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2" fontId="0" fillId="0" borderId="0" xfId="0" applyNumberFormat="1"/>
    <xf numFmtId="0" fontId="1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H8" sqref="H8"/>
    </sheetView>
  </sheetViews>
  <sheetFormatPr baseColWidth="10" defaultColWidth="8.88671875" defaultRowHeight="14.4" x14ac:dyDescent="0.3"/>
  <cols>
    <col min="1" max="2" width="8.88671875" style="3" customWidth="1"/>
    <col min="3" max="16384" width="8.88671875" style="3"/>
  </cols>
  <sheetData>
    <row r="1" spans="1:10" s="7" customFormat="1" x14ac:dyDescent="0.3">
      <c r="A1" s="8" t="s">
        <v>0</v>
      </c>
      <c r="B1" s="9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10" s="5" customFormat="1" x14ac:dyDescent="0.3">
      <c r="A2" s="3">
        <v>1</v>
      </c>
      <c r="B2" s="3" t="s">
        <v>16</v>
      </c>
      <c r="C2" s="3" t="s">
        <v>17</v>
      </c>
      <c r="D2" s="3" t="s">
        <v>16</v>
      </c>
      <c r="E2" s="3" t="s">
        <v>16</v>
      </c>
      <c r="F2" s="3" t="s">
        <v>16</v>
      </c>
      <c r="G2" s="3" t="s">
        <v>18</v>
      </c>
      <c r="H2" s="3" t="s">
        <v>16</v>
      </c>
    </row>
    <row r="3" spans="1:10" s="5" customFormat="1" x14ac:dyDescent="0.3">
      <c r="A3" s="3">
        <v>2</v>
      </c>
      <c r="B3" s="3" t="s">
        <v>19</v>
      </c>
      <c r="C3" s="3" t="s">
        <v>18</v>
      </c>
      <c r="D3" s="3" t="s">
        <v>19</v>
      </c>
      <c r="E3" s="3" t="s">
        <v>19</v>
      </c>
      <c r="F3" s="3" t="s">
        <v>19</v>
      </c>
      <c r="G3" s="3" t="s">
        <v>18</v>
      </c>
      <c r="H3" s="3" t="s">
        <v>16</v>
      </c>
    </row>
    <row r="4" spans="1:10" s="5" customFormat="1" x14ac:dyDescent="0.3">
      <c r="A4" s="3">
        <v>3</v>
      </c>
      <c r="B4" s="3" t="s">
        <v>16</v>
      </c>
      <c r="C4" s="3" t="s">
        <v>18</v>
      </c>
      <c r="D4" s="3" t="s">
        <v>16</v>
      </c>
      <c r="E4" s="3" t="s">
        <v>16</v>
      </c>
      <c r="F4" s="3" t="s">
        <v>16</v>
      </c>
      <c r="G4" s="3" t="s">
        <v>18</v>
      </c>
      <c r="H4" s="3" t="s">
        <v>16</v>
      </c>
    </row>
    <row r="5" spans="1:10" x14ac:dyDescent="0.3">
      <c r="A5" s="3">
        <v>4</v>
      </c>
      <c r="B5" s="3" t="s">
        <v>16</v>
      </c>
      <c r="C5" s="3" t="s">
        <v>18</v>
      </c>
      <c r="D5" s="3" t="s">
        <v>16</v>
      </c>
      <c r="E5" s="3" t="s">
        <v>17</v>
      </c>
      <c r="F5" s="3" t="s">
        <v>16</v>
      </c>
      <c r="G5" s="3" t="s">
        <v>16</v>
      </c>
      <c r="H5" s="3" t="s">
        <v>16</v>
      </c>
    </row>
    <row r="6" spans="1:10" x14ac:dyDescent="0.3">
      <c r="A6" s="3">
        <v>5</v>
      </c>
      <c r="B6" s="3" t="s">
        <v>16</v>
      </c>
      <c r="C6" s="3" t="s">
        <v>18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</row>
    <row r="7" spans="1:10" x14ac:dyDescent="0.3">
      <c r="A7" s="3">
        <v>6</v>
      </c>
      <c r="B7" s="3" t="s">
        <v>19</v>
      </c>
      <c r="C7" s="3" t="s">
        <v>17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</row>
    <row r="8" spans="1:10" x14ac:dyDescent="0.3">
      <c r="C8" s="6"/>
      <c r="D8" s="6"/>
      <c r="E8" s="6"/>
      <c r="F8" s="6"/>
      <c r="G8" s="6"/>
      <c r="H8" s="6"/>
      <c r="I8" s="6"/>
    </row>
    <row r="9" spans="1:10" customFormat="1" x14ac:dyDescent="0.3">
      <c r="A9" s="3" t="s">
        <v>8</v>
      </c>
      <c r="B9">
        <f>COUNTIF(B2:B7, "A")</f>
        <v>4</v>
      </c>
      <c r="C9">
        <f t="shared" ref="C9:H9" si="0">COUNTIF(C2:C7, "A")</f>
        <v>0</v>
      </c>
      <c r="D9">
        <f t="shared" si="0"/>
        <v>5</v>
      </c>
      <c r="E9">
        <f t="shared" si="0"/>
        <v>4</v>
      </c>
      <c r="F9">
        <f t="shared" si="0"/>
        <v>5</v>
      </c>
      <c r="G9">
        <f t="shared" si="0"/>
        <v>3</v>
      </c>
      <c r="H9">
        <f t="shared" si="0"/>
        <v>6</v>
      </c>
      <c r="J9" s="4"/>
    </row>
    <row r="10" spans="1:10" customFormat="1" x14ac:dyDescent="0.3">
      <c r="A10" s="3" t="s">
        <v>9</v>
      </c>
      <c r="B10">
        <f>COUNTIF(B2:B7, "B")</f>
        <v>2</v>
      </c>
      <c r="C10">
        <f t="shared" ref="C10:H10" si="1">COUNTIF(C2:C7, "B")</f>
        <v>0</v>
      </c>
      <c r="D10">
        <f t="shared" si="1"/>
        <v>1</v>
      </c>
      <c r="E10">
        <f t="shared" si="1"/>
        <v>1</v>
      </c>
      <c r="F10">
        <f t="shared" si="1"/>
        <v>1</v>
      </c>
      <c r="G10">
        <f t="shared" si="1"/>
        <v>0</v>
      </c>
      <c r="H10">
        <f t="shared" si="1"/>
        <v>0</v>
      </c>
      <c r="J10" s="4"/>
    </row>
    <row r="11" spans="1:10" customFormat="1" x14ac:dyDescent="0.3">
      <c r="A11" s="3" t="s">
        <v>10</v>
      </c>
      <c r="B11">
        <f>COUNTIF(B2:B7, "C")</f>
        <v>0</v>
      </c>
      <c r="C11">
        <f t="shared" ref="C11:H11" si="2">COUNTIF(C2:C7, "C")</f>
        <v>2</v>
      </c>
      <c r="D11">
        <f t="shared" si="2"/>
        <v>0</v>
      </c>
      <c r="E11">
        <f t="shared" si="2"/>
        <v>1</v>
      </c>
      <c r="F11">
        <f t="shared" si="2"/>
        <v>0</v>
      </c>
      <c r="G11">
        <f t="shared" si="2"/>
        <v>0</v>
      </c>
      <c r="H11">
        <f t="shared" si="2"/>
        <v>0</v>
      </c>
    </row>
    <row r="12" spans="1:10" customFormat="1" x14ac:dyDescent="0.3">
      <c r="A12" s="3" t="s">
        <v>11</v>
      </c>
      <c r="B12">
        <f>COUNTIF(B2:B7, "D")</f>
        <v>0</v>
      </c>
      <c r="C12">
        <f t="shared" ref="C12:H12" si="3">COUNTIF(C2:C7, "D")</f>
        <v>4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3</v>
      </c>
      <c r="H12">
        <f t="shared" si="3"/>
        <v>0</v>
      </c>
    </row>
    <row r="13" spans="1:10" customFormat="1" x14ac:dyDescent="0.3"/>
    <row r="14" spans="1:10" customFormat="1" x14ac:dyDescent="0.3"/>
    <row r="15" spans="1:10" customFormat="1" x14ac:dyDescent="0.3">
      <c r="A15" s="3" t="s">
        <v>12</v>
      </c>
      <c r="B15" s="4">
        <f xml:space="preserve"> IFERROR((B9 + B11) / (B9 + B10 + B11 + B12), 0)</f>
        <v>0.66666666666666663</v>
      </c>
      <c r="C15" s="4">
        <f t="shared" ref="C15:H15" si="4" xml:space="preserve"> IFERROR((C9 + C11) / (C9 + C10 + C11 + C12), 0)</f>
        <v>0.33333333333333331</v>
      </c>
      <c r="D15" s="4">
        <f t="shared" si="4"/>
        <v>0.83333333333333337</v>
      </c>
      <c r="E15" s="4">
        <f t="shared" si="4"/>
        <v>0.83333333333333337</v>
      </c>
      <c r="F15" s="4">
        <f t="shared" si="4"/>
        <v>0.83333333333333337</v>
      </c>
      <c r="G15" s="4">
        <f t="shared" si="4"/>
        <v>0.5</v>
      </c>
      <c r="H15" s="4">
        <f t="shared" si="4"/>
        <v>1</v>
      </c>
      <c r="I15" s="4">
        <f>AVERAGE(B15:H15)</f>
        <v>0.7142857142857143</v>
      </c>
    </row>
    <row r="16" spans="1:10" customFormat="1" x14ac:dyDescent="0.3">
      <c r="A16" s="3" t="s">
        <v>13</v>
      </c>
      <c r="B16" s="4">
        <f xml:space="preserve"> IFERROR((B9) / (B9 + B10), 0)</f>
        <v>0.66666666666666663</v>
      </c>
      <c r="C16" s="4">
        <f t="shared" ref="C16:H16" si="5" xml:space="preserve"> IFERROR((C9) / (C9 + C10), 0)</f>
        <v>0</v>
      </c>
      <c r="D16" s="4">
        <f t="shared" si="5"/>
        <v>0.83333333333333337</v>
      </c>
      <c r="E16" s="4">
        <f t="shared" si="5"/>
        <v>0.8</v>
      </c>
      <c r="F16" s="4">
        <f t="shared" si="5"/>
        <v>0.83333333333333337</v>
      </c>
      <c r="G16" s="4">
        <f t="shared" si="5"/>
        <v>1</v>
      </c>
      <c r="H16" s="4">
        <f t="shared" si="5"/>
        <v>1</v>
      </c>
      <c r="I16" s="4">
        <f t="shared" ref="I16:I18" si="6">AVERAGE(B16:H16)</f>
        <v>0.73333333333333328</v>
      </c>
    </row>
    <row r="17" spans="1:9" customFormat="1" x14ac:dyDescent="0.3">
      <c r="A17" s="3" t="s">
        <v>14</v>
      </c>
      <c r="B17" s="4">
        <f xml:space="preserve"> IFERROR((B9) / (B9 + B12), 0)</f>
        <v>1</v>
      </c>
      <c r="C17" s="4">
        <f t="shared" ref="C17:H17" si="7" xml:space="preserve"> IFERROR((C9) / (C9 + C12), 0)</f>
        <v>0</v>
      </c>
      <c r="D17" s="4">
        <f t="shared" si="7"/>
        <v>1</v>
      </c>
      <c r="E17" s="4">
        <f t="shared" si="7"/>
        <v>1</v>
      </c>
      <c r="F17" s="4">
        <f t="shared" si="7"/>
        <v>1</v>
      </c>
      <c r="G17" s="4">
        <f t="shared" si="7"/>
        <v>0.5</v>
      </c>
      <c r="H17" s="4">
        <f t="shared" si="7"/>
        <v>1</v>
      </c>
      <c r="I17" s="4">
        <f t="shared" si="6"/>
        <v>0.7857142857142857</v>
      </c>
    </row>
    <row r="18" spans="1:9" customFormat="1" x14ac:dyDescent="0.3">
      <c r="A18" s="3" t="s">
        <v>15</v>
      </c>
      <c r="B18" s="4">
        <f>IFERROR(2 * (B16 * B17) / (B16 + B17), 0)</f>
        <v>0.8</v>
      </c>
      <c r="C18" s="4">
        <f t="shared" ref="C18:H18" si="8">IFERROR(2 * (C16 * C17) / (C16 + C17), 0)</f>
        <v>0</v>
      </c>
      <c r="D18" s="4">
        <f t="shared" si="8"/>
        <v>0.90909090909090906</v>
      </c>
      <c r="E18" s="4">
        <f t="shared" si="8"/>
        <v>0.88888888888888895</v>
      </c>
      <c r="F18" s="4">
        <f t="shared" si="8"/>
        <v>0.90909090909090906</v>
      </c>
      <c r="G18" s="4">
        <f t="shared" si="8"/>
        <v>0.66666666666666663</v>
      </c>
      <c r="H18" s="4">
        <f t="shared" si="8"/>
        <v>1</v>
      </c>
      <c r="I18" s="4">
        <f t="shared" si="6"/>
        <v>0.73910533910533904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"/>
  <sheetViews>
    <sheetView workbookViewId="0">
      <selection activeCell="H12" sqref="H12"/>
    </sheetView>
  </sheetViews>
  <sheetFormatPr baseColWidth="10" defaultRowHeight="14.4" x14ac:dyDescent="0.3"/>
  <sheetData>
    <row r="1" spans="1:14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/>
      <c r="J1" s="2"/>
    </row>
    <row r="2" spans="1:14" s="1" customFormat="1" x14ac:dyDescent="0.3">
      <c r="A2">
        <v>1</v>
      </c>
      <c r="B2" t="s">
        <v>16</v>
      </c>
      <c r="C2" t="s">
        <v>17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/>
      <c r="J2"/>
      <c r="K2"/>
      <c r="L2" s="5"/>
      <c r="M2" s="5"/>
      <c r="N2" s="5"/>
    </row>
    <row r="3" spans="1:14" s="1" customFormat="1" x14ac:dyDescent="0.3">
      <c r="A3">
        <v>2</v>
      </c>
      <c r="B3" t="s">
        <v>16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/>
      <c r="J3"/>
      <c r="K3"/>
      <c r="L3" s="5"/>
      <c r="M3" s="5"/>
      <c r="N3" s="5"/>
    </row>
    <row r="4" spans="1:14" s="1" customFormat="1" x14ac:dyDescent="0.3">
      <c r="A4">
        <v>3</v>
      </c>
      <c r="B4" t="s">
        <v>16</v>
      </c>
      <c r="C4" t="s">
        <v>18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/>
      <c r="J4"/>
      <c r="K4"/>
      <c r="L4" s="5"/>
      <c r="M4" s="5"/>
      <c r="N4" s="5"/>
    </row>
    <row r="5" spans="1:14" s="1" customFormat="1" x14ac:dyDescent="0.3">
      <c r="A5">
        <v>4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/>
      <c r="J5"/>
      <c r="K5"/>
      <c r="L5" s="5"/>
      <c r="M5" s="5"/>
      <c r="N5" s="5"/>
    </row>
    <row r="6" spans="1:14" s="1" customFormat="1" x14ac:dyDescent="0.3">
      <c r="A6">
        <v>5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/>
      <c r="J6"/>
      <c r="K6"/>
      <c r="L6" s="5"/>
      <c r="M6" s="5"/>
      <c r="N6" s="5"/>
    </row>
    <row r="7" spans="1:14" s="1" customFormat="1" x14ac:dyDescent="0.3">
      <c r="A7">
        <v>6</v>
      </c>
      <c r="B7" t="s">
        <v>19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19</v>
      </c>
      <c r="I7"/>
      <c r="J7"/>
      <c r="K7"/>
      <c r="L7" s="5"/>
      <c r="M7" s="5"/>
      <c r="N7" s="5"/>
    </row>
    <row r="8" spans="1:14" x14ac:dyDescent="0.3">
      <c r="A8" s="3"/>
      <c r="B8" s="3"/>
    </row>
    <row r="9" spans="1:14" x14ac:dyDescent="0.3">
      <c r="A9" s="3" t="s">
        <v>8</v>
      </c>
      <c r="B9">
        <f>COUNTIF(B2:B7, "A")</f>
        <v>5</v>
      </c>
      <c r="C9">
        <f t="shared" ref="C9:H9" si="0">COUNTIF(C2:C7, "A")</f>
        <v>4</v>
      </c>
      <c r="D9">
        <f t="shared" si="0"/>
        <v>6</v>
      </c>
      <c r="E9">
        <f t="shared" si="0"/>
        <v>6</v>
      </c>
      <c r="F9">
        <f t="shared" si="0"/>
        <v>6</v>
      </c>
      <c r="G9">
        <f t="shared" si="0"/>
        <v>6</v>
      </c>
      <c r="H9">
        <f t="shared" si="0"/>
        <v>5</v>
      </c>
      <c r="J9" s="4"/>
    </row>
    <row r="10" spans="1:14" x14ac:dyDescent="0.3">
      <c r="A10" s="3" t="s">
        <v>9</v>
      </c>
      <c r="B10">
        <f>COUNTIF(B2:B7, "B")</f>
        <v>1</v>
      </c>
      <c r="C10">
        <f t="shared" ref="C10:H10" si="1">COUNTIF(C2:C7, "B")</f>
        <v>0</v>
      </c>
      <c r="D10">
        <f t="shared" si="1"/>
        <v>0</v>
      </c>
      <c r="E10">
        <f t="shared" si="1"/>
        <v>0</v>
      </c>
      <c r="F10">
        <f t="shared" si="1"/>
        <v>0</v>
      </c>
      <c r="G10">
        <f t="shared" si="1"/>
        <v>0</v>
      </c>
      <c r="H10">
        <f t="shared" si="1"/>
        <v>1</v>
      </c>
      <c r="J10" s="4"/>
    </row>
    <row r="11" spans="1:14" x14ac:dyDescent="0.3">
      <c r="A11" s="3" t="s">
        <v>10</v>
      </c>
      <c r="B11">
        <f>COUNTIF(B2:B7, "C")</f>
        <v>0</v>
      </c>
      <c r="C11">
        <f t="shared" ref="C11:H11" si="2">COUNTIF(C2:C7, "C")</f>
        <v>1</v>
      </c>
      <c r="D11">
        <f t="shared" si="2"/>
        <v>0</v>
      </c>
      <c r="E11">
        <f t="shared" si="2"/>
        <v>0</v>
      </c>
      <c r="F11">
        <f t="shared" si="2"/>
        <v>0</v>
      </c>
      <c r="G11">
        <f t="shared" si="2"/>
        <v>0</v>
      </c>
      <c r="H11">
        <f t="shared" si="2"/>
        <v>0</v>
      </c>
    </row>
    <row r="12" spans="1:14" x14ac:dyDescent="0.3">
      <c r="A12" s="3" t="s">
        <v>11</v>
      </c>
      <c r="B12">
        <f>COUNTIF(B2:B7, "D")</f>
        <v>0</v>
      </c>
      <c r="C12">
        <f t="shared" ref="C12:H12" si="3">COUNTIF(C2:C7, "D")</f>
        <v>1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</row>
    <row r="15" spans="1:14" x14ac:dyDescent="0.3">
      <c r="A15" s="3" t="s">
        <v>12</v>
      </c>
      <c r="B15" s="4">
        <f xml:space="preserve"> IFERROR((B9 + B11) / (B9 + B10 + B11 + B12), 0)</f>
        <v>0.83333333333333337</v>
      </c>
      <c r="C15" s="4">
        <f t="shared" ref="C15:H15" si="4" xml:space="preserve"> IFERROR((C9 + C11) / (C9 + C10 + C11 + C12), 0)</f>
        <v>0.83333333333333337</v>
      </c>
      <c r="D15" s="4">
        <f t="shared" si="4"/>
        <v>1</v>
      </c>
      <c r="E15" s="4">
        <f t="shared" si="4"/>
        <v>1</v>
      </c>
      <c r="F15" s="4">
        <f t="shared" si="4"/>
        <v>1</v>
      </c>
      <c r="G15" s="4">
        <f t="shared" si="4"/>
        <v>1</v>
      </c>
      <c r="H15" s="4">
        <f t="shared" si="4"/>
        <v>0.83333333333333337</v>
      </c>
      <c r="I15" s="4">
        <f>AVERAGE(B15:H15)</f>
        <v>0.9285714285714286</v>
      </c>
    </row>
    <row r="16" spans="1:14" x14ac:dyDescent="0.3">
      <c r="A16" s="3" t="s">
        <v>13</v>
      </c>
      <c r="B16" s="4">
        <f xml:space="preserve"> IFERROR((B9) / (B9 + B10), 0)</f>
        <v>0.83333333333333337</v>
      </c>
      <c r="C16" s="4">
        <f t="shared" ref="C16:H16" si="5" xml:space="preserve"> IFERROR((C9) / (C9 + C10), 0)</f>
        <v>1</v>
      </c>
      <c r="D16" s="4">
        <f t="shared" si="5"/>
        <v>1</v>
      </c>
      <c r="E16" s="4">
        <f t="shared" si="5"/>
        <v>1</v>
      </c>
      <c r="F16" s="4">
        <f t="shared" si="5"/>
        <v>1</v>
      </c>
      <c r="G16" s="4">
        <f t="shared" si="5"/>
        <v>1</v>
      </c>
      <c r="H16" s="4">
        <f t="shared" si="5"/>
        <v>0.83333333333333337</v>
      </c>
      <c r="I16" s="4">
        <f t="shared" ref="I16:I18" si="6">AVERAGE(B16:H16)</f>
        <v>0.95238095238095244</v>
      </c>
    </row>
    <row r="17" spans="1:9" x14ac:dyDescent="0.3">
      <c r="A17" s="3" t="s">
        <v>14</v>
      </c>
      <c r="B17" s="4">
        <f xml:space="preserve"> IFERROR((B9) / (B9 + B12), 0)</f>
        <v>1</v>
      </c>
      <c r="C17" s="4">
        <f t="shared" ref="C17:H17" si="7" xml:space="preserve"> IFERROR((C9) / (C9 + C12), 0)</f>
        <v>0.8</v>
      </c>
      <c r="D17" s="4">
        <f t="shared" si="7"/>
        <v>1</v>
      </c>
      <c r="E17" s="4">
        <f t="shared" si="7"/>
        <v>1</v>
      </c>
      <c r="F17" s="4">
        <f t="shared" si="7"/>
        <v>1</v>
      </c>
      <c r="G17" s="4">
        <f t="shared" si="7"/>
        <v>1</v>
      </c>
      <c r="H17" s="4">
        <f t="shared" si="7"/>
        <v>1</v>
      </c>
      <c r="I17" s="4">
        <f t="shared" si="6"/>
        <v>0.97142857142857142</v>
      </c>
    </row>
    <row r="18" spans="1:9" x14ac:dyDescent="0.3">
      <c r="A18" s="3" t="s">
        <v>15</v>
      </c>
      <c r="B18" s="4">
        <f>IFERROR(2 * (B16 * B17) / (B16 + B17), 0)</f>
        <v>0.90909090909090906</v>
      </c>
      <c r="C18" s="4">
        <f t="shared" ref="C18:H18" si="8">IFERROR(2 * (C16 * C17) / (C16 + C17), 0)</f>
        <v>0.88888888888888895</v>
      </c>
      <c r="D18" s="4">
        <f t="shared" si="8"/>
        <v>1</v>
      </c>
      <c r="E18" s="4">
        <f t="shared" si="8"/>
        <v>1</v>
      </c>
      <c r="F18" s="4">
        <f t="shared" si="8"/>
        <v>1</v>
      </c>
      <c r="G18" s="4">
        <f t="shared" si="8"/>
        <v>1</v>
      </c>
      <c r="H18" s="4">
        <f t="shared" si="8"/>
        <v>0.90909090909090906</v>
      </c>
      <c r="I18" s="4">
        <f t="shared" si="6"/>
        <v>0.95815295815295809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con_pydantic</vt:lpstr>
      <vt:lpstr>sin_pydantic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 Manuel García Carmona</dc:creator>
  <cp:lastModifiedBy>Ángel Manuel García Carmona</cp:lastModifiedBy>
  <dcterms:created xsi:type="dcterms:W3CDTF">2015-06-05T18:17:20Z</dcterms:created>
  <dcterms:modified xsi:type="dcterms:W3CDTF">2025-07-27T16:36:51Z</dcterms:modified>
</cp:coreProperties>
</file>